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vya Chukka git\Excel\"/>
    </mc:Choice>
  </mc:AlternateContent>
  <xr:revisionPtr revIDLastSave="0" documentId="8_{4F1D0226-2227-47CD-9AB3-87F4076CF853}" xr6:coauthVersionLast="47" xr6:coauthVersionMax="47" xr10:uidLastSave="{00000000-0000-0000-0000-000000000000}"/>
  <bookViews>
    <workbookView xWindow="-108" yWindow="-108" windowWidth="23256" windowHeight="12456" xr2:uid="{F4139A24-486F-4C8E-BEED-C1A3894C2CCD}"/>
  </bookViews>
  <sheets>
    <sheet name="Arithmetic and common functions" sheetId="3" r:id="rId1"/>
    <sheet name="Logical functio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4" l="1" a="1"/>
  <c r="O4" i="4" s="1"/>
  <c r="O5" i="4" a="1"/>
  <c r="O5" i="4" s="1"/>
  <c r="O6" i="4" a="1"/>
  <c r="O6" i="4" s="1"/>
  <c r="O7" i="4" a="1"/>
  <c r="O7" i="4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/>
  <c r="O14" i="4" a="1"/>
  <c r="O14" i="4"/>
  <c r="O15" i="4" a="1"/>
  <c r="O15" i="4" s="1"/>
  <c r="O16" i="4" a="1"/>
  <c r="O16" i="4" s="1"/>
  <c r="O17" i="4" a="1"/>
  <c r="O17" i="4" s="1"/>
  <c r="O18" i="4" a="1"/>
  <c r="O18" i="4" s="1"/>
  <c r="O19" i="4" a="1"/>
  <c r="O19" i="4"/>
  <c r="O20" i="4" a="1"/>
  <c r="O20" i="4" s="1"/>
  <c r="O21" i="4" a="1"/>
  <c r="O21" i="4" s="1"/>
  <c r="O22" i="4" a="1"/>
  <c r="O22" i="4" s="1"/>
  <c r="O3" i="4" a="1"/>
  <c r="O3" i="4" s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3" i="4"/>
  <c r="L4" i="4" a="1"/>
  <c r="L4" i="4" s="1"/>
  <c r="L5" i="4" a="1"/>
  <c r="L5" i="4" s="1"/>
  <c r="L6" i="4" a="1"/>
  <c r="L6" i="4"/>
  <c r="L7" i="4" a="1"/>
  <c r="L7" i="4"/>
  <c r="L8" i="4" a="1"/>
  <c r="L8" i="4" s="1"/>
  <c r="L9" i="4" a="1"/>
  <c r="L9" i="4"/>
  <c r="L10" i="4" a="1"/>
  <c r="L10" i="4" s="1"/>
  <c r="L11" i="4" a="1"/>
  <c r="L11" i="4"/>
  <c r="L12" i="4" a="1"/>
  <c r="L12" i="4" s="1"/>
  <c r="L13" i="4" a="1"/>
  <c r="L13" i="4" s="1"/>
  <c r="L14" i="4" a="1"/>
  <c r="L14" i="4"/>
  <c r="L15" i="4" a="1"/>
  <c r="L15" i="4"/>
  <c r="L16" i="4" a="1"/>
  <c r="L16" i="4" s="1"/>
  <c r="L17" i="4" a="1"/>
  <c r="L17" i="4" s="1"/>
  <c r="L18" i="4" a="1"/>
  <c r="L18" i="4" s="1"/>
  <c r="L19" i="4" a="1"/>
  <c r="L19" i="4" s="1"/>
  <c r="L20" i="4" a="1"/>
  <c r="L20" i="4" s="1"/>
  <c r="L21" i="4" a="1"/>
  <c r="L21" i="4"/>
  <c r="L22" i="4" a="1"/>
  <c r="L22" i="4" s="1"/>
  <c r="L3" i="4" a="1"/>
  <c r="L3" i="4" s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3" i="4"/>
  <c r="L4" i="3"/>
  <c r="L5" i="3"/>
  <c r="L6" i="3"/>
  <c r="L7" i="3"/>
  <c r="L8" i="3"/>
  <c r="L9" i="3"/>
  <c r="L10" i="3"/>
  <c r="L11" i="3"/>
  <c r="L12" i="3"/>
  <c r="L13" i="3"/>
  <c r="L14" i="3"/>
  <c r="L3" i="3"/>
  <c r="K20" i="3"/>
  <c r="K19" i="3"/>
  <c r="K18" i="3"/>
  <c r="K15" i="3"/>
  <c r="K16" i="3"/>
  <c r="K17" i="3"/>
  <c r="K4" i="3"/>
  <c r="K5" i="3"/>
  <c r="K6" i="3"/>
  <c r="K7" i="3"/>
  <c r="K8" i="3"/>
  <c r="K9" i="3"/>
  <c r="K10" i="3"/>
  <c r="K11" i="3"/>
  <c r="K12" i="3"/>
  <c r="K13" i="3"/>
  <c r="K14" i="3"/>
  <c r="K3" i="3"/>
  <c r="J14" i="3"/>
  <c r="J4" i="3"/>
  <c r="J5" i="3"/>
  <c r="J6" i="3"/>
  <c r="J7" i="3"/>
  <c r="J8" i="3"/>
  <c r="J9" i="3"/>
  <c r="J10" i="3"/>
  <c r="J11" i="3"/>
  <c r="J12" i="3"/>
  <c r="J13" i="3"/>
  <c r="J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<sst xmlns="http://schemas.openxmlformats.org/spreadsheetml/2006/main" count="184" uniqueCount="98">
  <si>
    <t>Emp_ID</t>
  </si>
  <si>
    <t>Name</t>
  </si>
  <si>
    <t>Gender</t>
  </si>
  <si>
    <t>Department</t>
  </si>
  <si>
    <t>Salary</t>
  </si>
  <si>
    <t>Bonus_%</t>
  </si>
  <si>
    <t>Join_Date</t>
  </si>
  <si>
    <t>Experience</t>
  </si>
  <si>
    <t>City</t>
  </si>
  <si>
    <t>Divya</t>
  </si>
  <si>
    <t>Female</t>
  </si>
  <si>
    <t>IT</t>
  </si>
  <si>
    <t>Hyderabad</t>
  </si>
  <si>
    <t>Ravi</t>
  </si>
  <si>
    <t>Male</t>
  </si>
  <si>
    <t>HR</t>
  </si>
  <si>
    <t>Chennai</t>
  </si>
  <si>
    <t>Priya</t>
  </si>
  <si>
    <t>Finance</t>
  </si>
  <si>
    <t>Bangalore</t>
  </si>
  <si>
    <t>Kiran</t>
  </si>
  <si>
    <t>Sneha</t>
  </si>
  <si>
    <t>Marketing</t>
  </si>
  <si>
    <t>Mumbai</t>
  </si>
  <si>
    <t>Arjun</t>
  </si>
  <si>
    <t>Pune</t>
  </si>
  <si>
    <t>Neha</t>
  </si>
  <si>
    <t>Rohit</t>
  </si>
  <si>
    <t>Pooja</t>
  </si>
  <si>
    <t>Akash</t>
  </si>
  <si>
    <t>Meena</t>
  </si>
  <si>
    <t>Varun</t>
  </si>
  <si>
    <t>Bonus_Amount( Multiplication)</t>
  </si>
  <si>
    <t>Total_Salary(Addition)</t>
  </si>
  <si>
    <t>Total salary(sum)</t>
  </si>
  <si>
    <t>Average salary(avg)</t>
  </si>
  <si>
    <t>salary count</t>
  </si>
  <si>
    <t>name count</t>
  </si>
  <si>
    <t>Minimum salary</t>
  </si>
  <si>
    <t>Maximum salary</t>
  </si>
  <si>
    <t>GST rate</t>
  </si>
  <si>
    <t>Tax(using absolute reference of gst)</t>
  </si>
  <si>
    <t>Arithmetic Formulas and Common functions</t>
  </si>
  <si>
    <t>Emp ID</t>
  </si>
  <si>
    <t>Employee</t>
  </si>
  <si>
    <t>Sales</t>
  </si>
  <si>
    <t>Attendance</t>
  </si>
  <si>
    <t>Performance</t>
  </si>
  <si>
    <t>E001</t>
  </si>
  <si>
    <t>Alice</t>
  </si>
  <si>
    <t>Excellent</t>
  </si>
  <si>
    <t>E002</t>
  </si>
  <si>
    <t>Bob</t>
  </si>
  <si>
    <t>Good</t>
  </si>
  <si>
    <t>E003</t>
  </si>
  <si>
    <t>Charlie</t>
  </si>
  <si>
    <t>E004</t>
  </si>
  <si>
    <t>David</t>
  </si>
  <si>
    <t>E005</t>
  </si>
  <si>
    <t>Emma</t>
  </si>
  <si>
    <t>Average</t>
  </si>
  <si>
    <t>E006</t>
  </si>
  <si>
    <t>Frank</t>
  </si>
  <si>
    <t>E007</t>
  </si>
  <si>
    <t>Grace</t>
  </si>
  <si>
    <t>E008</t>
  </si>
  <si>
    <t>Henry</t>
  </si>
  <si>
    <t>E009</t>
  </si>
  <si>
    <t>Ivy</t>
  </si>
  <si>
    <t>E010</t>
  </si>
  <si>
    <t>Jack</t>
  </si>
  <si>
    <t>E011</t>
  </si>
  <si>
    <t>Karen</t>
  </si>
  <si>
    <t>E012</t>
  </si>
  <si>
    <t>Liam</t>
  </si>
  <si>
    <t>E013</t>
  </si>
  <si>
    <t>Mia</t>
  </si>
  <si>
    <t>E014</t>
  </si>
  <si>
    <t>Noah</t>
  </si>
  <si>
    <t>E015</t>
  </si>
  <si>
    <t>Olivia</t>
  </si>
  <si>
    <t>E016</t>
  </si>
  <si>
    <t>Peter</t>
  </si>
  <si>
    <t>E017</t>
  </si>
  <si>
    <t>Queen</t>
  </si>
  <si>
    <t>E018</t>
  </si>
  <si>
    <t>Ryan</t>
  </si>
  <si>
    <t>E019</t>
  </si>
  <si>
    <t>Sophia</t>
  </si>
  <si>
    <t>E020</t>
  </si>
  <si>
    <t>Thomas</t>
  </si>
  <si>
    <t>Salary type(if)</t>
  </si>
  <si>
    <t>LOGICAL FUNCTIONS</t>
  </si>
  <si>
    <t>Grading based on Sales(nested if)</t>
  </si>
  <si>
    <t>Grading based on attendance(IFS)</t>
  </si>
  <si>
    <t>Promotion eligible(and if)</t>
  </si>
  <si>
    <t>Work from home(or if)</t>
  </si>
  <si>
    <t>Department Codes(Switch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</si>
</sst>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35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4" xfId="2" applyBorder="1" applyAlignment="1">
      <alignment horizontal="center" vertical="center" wrapText="1"/>
    </xf>
    <xf numFmtId="0" fontId="1" fillId="2" borderId="5" xfId="2" applyBorder="1" applyAlignment="1">
      <alignment horizontal="center" vertical="center" wrapText="1"/>
    </xf>
    <xf numFmtId="164" fontId="1" fillId="2" borderId="5" xfId="2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0" fontId="1" fillId="2" borderId="5" xfId="2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14" fontId="1" fillId="2" borderId="5" xfId="2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1" fillId="2" borderId="6" xfId="2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4" borderId="2" xfId="4" applyFont="1" applyBorder="1" applyAlignment="1">
      <alignment wrapText="1"/>
    </xf>
    <xf numFmtId="0" fontId="0" fillId="4" borderId="2" xfId="4" applyFont="1" applyBorder="1" applyAlignment="1">
      <alignment vertical="center" wrapText="1"/>
    </xf>
    <xf numFmtId="164" fontId="0" fillId="0" borderId="2" xfId="0" applyNumberFormat="1" applyBorder="1"/>
    <xf numFmtId="164" fontId="1" fillId="3" borderId="2" xfId="3" applyNumberFormat="1" applyBorder="1"/>
    <xf numFmtId="0" fontId="1" fillId="3" borderId="2" xfId="3" applyBorder="1"/>
    <xf numFmtId="0" fontId="0" fillId="0" borderId="2" xfId="0" applyBorder="1"/>
    <xf numFmtId="9" fontId="0" fillId="0" borderId="2" xfId="0" applyNumberFormat="1" applyBorder="1"/>
    <xf numFmtId="0" fontId="0" fillId="0" borderId="0" xfId="0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1" fillId="5" borderId="2" xfId="5" applyBorder="1" applyAlignment="1">
      <alignment horizontal="right" vertical="center" wrapText="1"/>
    </xf>
    <xf numFmtId="0" fontId="1" fillId="6" borderId="2" xfId="6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9" xfId="0" applyBorder="1"/>
    <xf numFmtId="0" fontId="0" fillId="0" borderId="0" xfId="0" applyAlignment="1">
      <alignment horizontal="right" vertical="center" wrapText="1"/>
    </xf>
    <xf numFmtId="0" fontId="1" fillId="6" borderId="2" xfId="6" applyBorder="1" applyAlignment="1">
      <alignment horizontal="right" vertical="center" wrapText="1"/>
    </xf>
    <xf numFmtId="0" fontId="2" fillId="0" borderId="2" xfId="1" applyBorder="1" applyAlignment="1">
      <alignment horizontal="center"/>
    </xf>
    <xf numFmtId="0" fontId="2" fillId="0" borderId="0" xfId="1" applyBorder="1" applyAlignment="1">
      <alignment horizontal="center"/>
    </xf>
  </cellXfs>
  <cellStyles count="7">
    <cellStyle name="20% - Accent1" xfId="5" builtinId="30"/>
    <cellStyle name="20% - Accent2" xfId="3" builtinId="34"/>
    <cellStyle name="40% - Accent1" xfId="2" builtinId="31"/>
    <cellStyle name="40% - Accent2" xfId="4" builtinId="35"/>
    <cellStyle name="60% - Accent1" xfId="6" builtinId="32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A350-E18F-470F-8A83-6BF4CB5A2B8C}">
  <dimension ref="A1:L21"/>
  <sheetViews>
    <sheetView tabSelected="1" zoomScale="98" zoomScaleNormal="140" workbookViewId="0">
      <pane ySplit="2" topLeftCell="A3" activePane="bottomLeft" state="frozen"/>
      <selection pane="bottomLeft" activeCell="L3" sqref="L3"/>
    </sheetView>
  </sheetViews>
  <sheetFormatPr defaultRowHeight="14.4" x14ac:dyDescent="0.3"/>
  <cols>
    <col min="4" max="4" width="12.88671875" customWidth="1"/>
    <col min="5" max="5" width="10.6640625" bestFit="1" customWidth="1"/>
    <col min="6" max="6" width="8.6640625" bestFit="1" customWidth="1"/>
    <col min="7" max="7" width="10.44140625" bestFit="1" customWidth="1"/>
    <col min="8" max="8" width="10.21875" bestFit="1" customWidth="1"/>
    <col min="9" max="9" width="10.109375" bestFit="1" customWidth="1"/>
    <col min="10" max="10" width="16.77734375" customWidth="1"/>
    <col min="11" max="11" width="12.33203125" customWidth="1"/>
    <col min="12" max="12" width="12.6640625" customWidth="1"/>
  </cols>
  <sheetData>
    <row r="1" spans="1:12" ht="17.399999999999999" x14ac:dyDescent="0.35">
      <c r="A1" s="33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58.2" thickBot="1" x14ac:dyDescent="0.35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8" t="s">
        <v>5</v>
      </c>
      <c r="G2" s="11" t="s">
        <v>6</v>
      </c>
      <c r="H2" s="4" t="s">
        <v>7</v>
      </c>
      <c r="I2" s="14" t="s">
        <v>8</v>
      </c>
      <c r="J2" s="18" t="s">
        <v>32</v>
      </c>
      <c r="K2" s="18" t="s">
        <v>33</v>
      </c>
      <c r="L2" s="17" t="s">
        <v>41</v>
      </c>
    </row>
    <row r="3" spans="1:12" x14ac:dyDescent="0.3">
      <c r="A3" s="2">
        <v>101</v>
      </c>
      <c r="B3" s="2" t="s">
        <v>9</v>
      </c>
      <c r="C3" s="2" t="s">
        <v>10</v>
      </c>
      <c r="D3" s="2" t="s">
        <v>11</v>
      </c>
      <c r="E3" s="6">
        <v>50000</v>
      </c>
      <c r="F3" s="9">
        <v>0.1</v>
      </c>
      <c r="G3" s="12">
        <v>44941</v>
      </c>
      <c r="H3" s="2">
        <v>3</v>
      </c>
      <c r="I3" s="15" t="s">
        <v>12</v>
      </c>
      <c r="J3" s="19">
        <f>E3*F3</f>
        <v>5000</v>
      </c>
      <c r="K3" s="19">
        <f>E3+J3</f>
        <v>55000</v>
      </c>
      <c r="L3" s="19">
        <f>E3*$K$21</f>
        <v>9000</v>
      </c>
    </row>
    <row r="4" spans="1:12" ht="25.2" customHeight="1" x14ac:dyDescent="0.3">
      <c r="A4" s="1">
        <v>102</v>
      </c>
      <c r="B4" s="1" t="s">
        <v>13</v>
      </c>
      <c r="C4" s="1" t="s">
        <v>14</v>
      </c>
      <c r="D4" s="1" t="s">
        <v>15</v>
      </c>
      <c r="E4" s="7">
        <v>45000</v>
      </c>
      <c r="F4" s="10">
        <v>0.08</v>
      </c>
      <c r="G4" s="13">
        <v>44630</v>
      </c>
      <c r="H4" s="1">
        <v>4</v>
      </c>
      <c r="I4" s="16" t="s">
        <v>16</v>
      </c>
      <c r="J4" s="19">
        <f>E4*F4</f>
        <v>3600</v>
      </c>
      <c r="K4" s="19">
        <f t="shared" ref="K4:K14" si="0">E4+J4</f>
        <v>48600</v>
      </c>
      <c r="L4" s="19">
        <f t="shared" ref="L4:L14" si="1">E4*$K$21</f>
        <v>8100</v>
      </c>
    </row>
    <row r="5" spans="1:12" ht="25.2" customHeight="1" x14ac:dyDescent="0.3">
      <c r="A5" s="1">
        <v>103</v>
      </c>
      <c r="B5" s="1" t="s">
        <v>17</v>
      </c>
      <c r="C5" s="1" t="s">
        <v>10</v>
      </c>
      <c r="D5" s="1" t="s">
        <v>18</v>
      </c>
      <c r="E5" s="7">
        <v>60000</v>
      </c>
      <c r="F5" s="10">
        <v>0.12</v>
      </c>
      <c r="G5" s="13">
        <v>44382</v>
      </c>
      <c r="H5" s="1">
        <v>5</v>
      </c>
      <c r="I5" s="16" t="s">
        <v>19</v>
      </c>
      <c r="J5" s="19">
        <f t="shared" ref="J5:J13" si="2">E5*F5</f>
        <v>7200</v>
      </c>
      <c r="K5" s="19">
        <f t="shared" si="0"/>
        <v>67200</v>
      </c>
      <c r="L5" s="19">
        <f t="shared" si="1"/>
        <v>10800</v>
      </c>
    </row>
    <row r="6" spans="1:12" x14ac:dyDescent="0.3">
      <c r="A6" s="1">
        <v>104</v>
      </c>
      <c r="B6" s="1" t="s">
        <v>20</v>
      </c>
      <c r="C6" s="1" t="s">
        <v>14</v>
      </c>
      <c r="D6" s="1" t="s">
        <v>11</v>
      </c>
      <c r="E6" s="7">
        <v>55000</v>
      </c>
      <c r="F6" s="10">
        <v>0.1</v>
      </c>
      <c r="G6" s="13">
        <v>45158</v>
      </c>
      <c r="H6" s="1">
        <v>2</v>
      </c>
      <c r="I6" s="16" t="s">
        <v>12</v>
      </c>
      <c r="J6" s="19">
        <f t="shared" si="2"/>
        <v>5500</v>
      </c>
      <c r="K6" s="19">
        <f t="shared" si="0"/>
        <v>60500</v>
      </c>
      <c r="L6" s="19">
        <f t="shared" si="1"/>
        <v>9900</v>
      </c>
    </row>
    <row r="7" spans="1:12" x14ac:dyDescent="0.3">
      <c r="A7" s="1">
        <v>105</v>
      </c>
      <c r="B7" s="1" t="s">
        <v>21</v>
      </c>
      <c r="C7" s="1" t="s">
        <v>10</v>
      </c>
      <c r="D7" s="1" t="s">
        <v>22</v>
      </c>
      <c r="E7" s="7">
        <v>48000</v>
      </c>
      <c r="F7" s="10">
        <v>7.0000000000000007E-2</v>
      </c>
      <c r="G7" s="13">
        <v>44604</v>
      </c>
      <c r="H7" s="1">
        <v>4</v>
      </c>
      <c r="I7" s="16" t="s">
        <v>23</v>
      </c>
      <c r="J7" s="19">
        <f t="shared" si="2"/>
        <v>3360.0000000000005</v>
      </c>
      <c r="K7" s="19">
        <f t="shared" si="0"/>
        <v>51360</v>
      </c>
      <c r="L7" s="19">
        <f t="shared" si="1"/>
        <v>8640</v>
      </c>
    </row>
    <row r="8" spans="1:12" ht="19.2" customHeight="1" x14ac:dyDescent="0.3">
      <c r="A8" s="1">
        <v>106</v>
      </c>
      <c r="B8" s="1" t="s">
        <v>24</v>
      </c>
      <c r="C8" s="1" t="s">
        <v>14</v>
      </c>
      <c r="D8" s="1" t="s">
        <v>18</v>
      </c>
      <c r="E8" s="7">
        <v>62000</v>
      </c>
      <c r="F8" s="10">
        <v>0.15</v>
      </c>
      <c r="G8" s="13">
        <v>44122</v>
      </c>
      <c r="H8" s="1">
        <v>6</v>
      </c>
      <c r="I8" s="16" t="s">
        <v>25</v>
      </c>
      <c r="J8" s="19">
        <f t="shared" si="2"/>
        <v>9300</v>
      </c>
      <c r="K8" s="19">
        <f t="shared" si="0"/>
        <v>71300</v>
      </c>
      <c r="L8" s="19">
        <f t="shared" si="1"/>
        <v>11160</v>
      </c>
    </row>
    <row r="9" spans="1:12" x14ac:dyDescent="0.3">
      <c r="A9" s="1">
        <v>107</v>
      </c>
      <c r="B9" s="1" t="s">
        <v>26</v>
      </c>
      <c r="C9" s="1" t="s">
        <v>10</v>
      </c>
      <c r="D9" s="1" t="s">
        <v>11</v>
      </c>
      <c r="E9" s="7">
        <v>58000</v>
      </c>
      <c r="F9" s="10">
        <v>0.12</v>
      </c>
      <c r="G9" s="13">
        <v>44555</v>
      </c>
      <c r="H9" s="1">
        <v>5</v>
      </c>
      <c r="I9" s="16" t="s">
        <v>12</v>
      </c>
      <c r="J9" s="19">
        <f t="shared" si="2"/>
        <v>6960</v>
      </c>
      <c r="K9" s="19">
        <f t="shared" si="0"/>
        <v>64960</v>
      </c>
      <c r="L9" s="19">
        <f t="shared" si="1"/>
        <v>10440</v>
      </c>
    </row>
    <row r="10" spans="1:12" x14ac:dyDescent="0.3">
      <c r="A10" s="1">
        <v>108</v>
      </c>
      <c r="B10" s="1" t="s">
        <v>27</v>
      </c>
      <c r="C10" s="1" t="s">
        <v>14</v>
      </c>
      <c r="D10" s="1" t="s">
        <v>15</v>
      </c>
      <c r="E10" s="7">
        <v>47000</v>
      </c>
      <c r="F10" s="10">
        <v>0.08</v>
      </c>
      <c r="G10" s="13">
        <v>45027</v>
      </c>
      <c r="H10" s="1">
        <v>3</v>
      </c>
      <c r="I10" s="16" t="s">
        <v>16</v>
      </c>
      <c r="J10" s="19">
        <f t="shared" si="2"/>
        <v>3760</v>
      </c>
      <c r="K10" s="19">
        <f t="shared" si="0"/>
        <v>50760</v>
      </c>
      <c r="L10" s="19">
        <f t="shared" si="1"/>
        <v>8460</v>
      </c>
    </row>
    <row r="11" spans="1:12" x14ac:dyDescent="0.3">
      <c r="A11" s="1">
        <v>109</v>
      </c>
      <c r="B11" s="1" t="s">
        <v>28</v>
      </c>
      <c r="C11" s="1" t="s">
        <v>10</v>
      </c>
      <c r="D11" s="1" t="s">
        <v>22</v>
      </c>
      <c r="E11" s="7">
        <v>51000</v>
      </c>
      <c r="F11" s="10">
        <v>0.09</v>
      </c>
      <c r="G11" s="13">
        <v>44713</v>
      </c>
      <c r="H11" s="1">
        <v>4</v>
      </c>
      <c r="I11" s="16" t="s">
        <v>19</v>
      </c>
      <c r="J11" s="19">
        <f t="shared" si="2"/>
        <v>4590</v>
      </c>
      <c r="K11" s="19">
        <f t="shared" si="0"/>
        <v>55590</v>
      </c>
      <c r="L11" s="19">
        <f t="shared" si="1"/>
        <v>9180</v>
      </c>
    </row>
    <row r="12" spans="1:12" x14ac:dyDescent="0.3">
      <c r="A12" s="1">
        <v>110</v>
      </c>
      <c r="B12" s="1" t="s">
        <v>29</v>
      </c>
      <c r="C12" s="1" t="s">
        <v>14</v>
      </c>
      <c r="D12" s="1" t="s">
        <v>11</v>
      </c>
      <c r="E12" s="7">
        <v>65000</v>
      </c>
      <c r="F12" s="10">
        <v>0.15</v>
      </c>
      <c r="G12" s="13">
        <v>44089</v>
      </c>
      <c r="H12" s="1">
        <v>6</v>
      </c>
      <c r="I12" s="16" t="s">
        <v>12</v>
      </c>
      <c r="J12" s="19">
        <f t="shared" si="2"/>
        <v>9750</v>
      </c>
      <c r="K12" s="19">
        <f t="shared" si="0"/>
        <v>74750</v>
      </c>
      <c r="L12" s="19">
        <f t="shared" si="1"/>
        <v>11700</v>
      </c>
    </row>
    <row r="13" spans="1:12" x14ac:dyDescent="0.3">
      <c r="A13" s="1">
        <v>111</v>
      </c>
      <c r="B13" s="1" t="s">
        <v>30</v>
      </c>
      <c r="C13" s="1" t="s">
        <v>10</v>
      </c>
      <c r="D13" s="1" t="s">
        <v>18</v>
      </c>
      <c r="E13" s="7">
        <v>59000</v>
      </c>
      <c r="F13" s="10">
        <v>0.11</v>
      </c>
      <c r="G13" s="13">
        <v>44507</v>
      </c>
      <c r="H13" s="1">
        <v>5</v>
      </c>
      <c r="I13" s="16" t="s">
        <v>25</v>
      </c>
      <c r="J13" s="19">
        <f t="shared" si="2"/>
        <v>6490</v>
      </c>
      <c r="K13" s="19">
        <f t="shared" si="0"/>
        <v>65490</v>
      </c>
      <c r="L13" s="19">
        <f t="shared" si="1"/>
        <v>10620</v>
      </c>
    </row>
    <row r="14" spans="1:12" x14ac:dyDescent="0.3">
      <c r="A14" s="1">
        <v>112</v>
      </c>
      <c r="B14" s="1" t="s">
        <v>31</v>
      </c>
      <c r="C14" s="1" t="s">
        <v>14</v>
      </c>
      <c r="D14" s="1" t="s">
        <v>11</v>
      </c>
      <c r="E14" s="7">
        <v>53000</v>
      </c>
      <c r="F14" s="10">
        <v>0.1</v>
      </c>
      <c r="G14" s="13">
        <v>45294</v>
      </c>
      <c r="H14" s="1">
        <v>1</v>
      </c>
      <c r="I14" s="16" t="s">
        <v>23</v>
      </c>
      <c r="J14" s="19">
        <f>E14*F14</f>
        <v>5300</v>
      </c>
      <c r="K14" s="19">
        <f t="shared" si="0"/>
        <v>58300</v>
      </c>
      <c r="L14" s="19">
        <f t="shared" si="1"/>
        <v>9540</v>
      </c>
    </row>
    <row r="15" spans="1:12" x14ac:dyDescent="0.3">
      <c r="J15" s="20" t="s">
        <v>34</v>
      </c>
      <c r="K15" s="19">
        <f>SUM(K3:K14)</f>
        <v>723810</v>
      </c>
    </row>
    <row r="16" spans="1:12" x14ac:dyDescent="0.3">
      <c r="J16" s="21" t="s">
        <v>35</v>
      </c>
      <c r="K16" s="19">
        <f>AVERAGE(K3:K14)</f>
        <v>60317.5</v>
      </c>
    </row>
    <row r="17" spans="10:11" x14ac:dyDescent="0.3">
      <c r="J17" s="21" t="s">
        <v>36</v>
      </c>
      <c r="K17" s="22">
        <f>COUNT(K3:K14)</f>
        <v>12</v>
      </c>
    </row>
    <row r="18" spans="10:11" x14ac:dyDescent="0.3">
      <c r="J18" s="20" t="s">
        <v>37</v>
      </c>
      <c r="K18" s="22">
        <f>COUNTA(B3:B14)</f>
        <v>12</v>
      </c>
    </row>
    <row r="19" spans="10:11" x14ac:dyDescent="0.3">
      <c r="J19" s="21" t="s">
        <v>38</v>
      </c>
      <c r="K19" s="19">
        <f>MIN(K3:K14)</f>
        <v>48600</v>
      </c>
    </row>
    <row r="20" spans="10:11" x14ac:dyDescent="0.3">
      <c r="J20" s="21" t="s">
        <v>39</v>
      </c>
      <c r="K20" s="19">
        <f>MAX(K3:K14)</f>
        <v>74750</v>
      </c>
    </row>
    <row r="21" spans="10:11" x14ac:dyDescent="0.3">
      <c r="J21" s="21" t="s">
        <v>40</v>
      </c>
      <c r="K21" s="23">
        <v>0.18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FE69-39A9-48DF-B54C-D9186802F9D1}">
  <dimension ref="A1:O32"/>
  <sheetViews>
    <sheetView zoomScale="114" zoomScaleNormal="140" workbookViewId="0">
      <pane ySplit="2" topLeftCell="A7" activePane="bottomLeft" state="frozen"/>
      <selection pane="bottomLeft" activeCell="G24" sqref="G24"/>
    </sheetView>
  </sheetViews>
  <sheetFormatPr defaultRowHeight="14.4" x14ac:dyDescent="0.3"/>
  <cols>
    <col min="2" max="2" width="9.77734375" customWidth="1"/>
    <col min="3" max="3" width="11.33203125" customWidth="1"/>
    <col min="4" max="4" width="10.44140625" bestFit="1" customWidth="1"/>
    <col min="5" max="5" width="10.21875" bestFit="1" customWidth="1"/>
    <col min="6" max="6" width="10.109375" bestFit="1" customWidth="1"/>
    <col min="7" max="7" width="11.21875" customWidth="1"/>
    <col min="8" max="8" width="11.33203125" customWidth="1"/>
    <col min="9" max="9" width="14.33203125" customWidth="1"/>
    <col min="10" max="10" width="10.21875" bestFit="1" customWidth="1"/>
    <col min="11" max="11" width="15.77734375" bestFit="1" customWidth="1"/>
    <col min="12" max="12" width="13.21875" bestFit="1" customWidth="1"/>
    <col min="13" max="13" width="13" bestFit="1" customWidth="1"/>
    <col min="15" max="15" width="12.33203125" bestFit="1" customWidth="1"/>
  </cols>
  <sheetData>
    <row r="1" spans="1:15" ht="17.399999999999999" x14ac:dyDescent="0.35">
      <c r="A1" s="34" t="s">
        <v>92</v>
      </c>
      <c r="B1" s="34"/>
      <c r="C1" s="34"/>
      <c r="D1" s="34"/>
      <c r="E1" s="34"/>
      <c r="F1" s="34"/>
      <c r="G1" s="34"/>
      <c r="H1" s="34"/>
      <c r="I1" s="34"/>
      <c r="J1" s="34"/>
    </row>
    <row r="2" spans="1:15" ht="42" customHeight="1" x14ac:dyDescent="0.3">
      <c r="A2" s="27" t="s">
        <v>43</v>
      </c>
      <c r="B2" s="27" t="s">
        <v>44</v>
      </c>
      <c r="C2" s="27" t="s">
        <v>3</v>
      </c>
      <c r="D2" s="27" t="s">
        <v>8</v>
      </c>
      <c r="E2" s="32" t="s">
        <v>7</v>
      </c>
      <c r="F2" s="32" t="s">
        <v>4</v>
      </c>
      <c r="G2" s="32" t="s">
        <v>45</v>
      </c>
      <c r="H2" s="32" t="s">
        <v>46</v>
      </c>
      <c r="I2" s="27" t="s">
        <v>47</v>
      </c>
      <c r="J2" s="26" t="s">
        <v>91</v>
      </c>
      <c r="K2" s="26" t="s">
        <v>93</v>
      </c>
      <c r="L2" s="26" t="s">
        <v>94</v>
      </c>
      <c r="M2" s="26" t="s">
        <v>95</v>
      </c>
      <c r="N2" s="26" t="s">
        <v>96</v>
      </c>
      <c r="O2" s="26" t="s">
        <v>97</v>
      </c>
    </row>
    <row r="3" spans="1:15" x14ac:dyDescent="0.3">
      <c r="A3" s="1" t="s">
        <v>48</v>
      </c>
      <c r="B3" s="1" t="s">
        <v>49</v>
      </c>
      <c r="C3" s="1" t="s">
        <v>11</v>
      </c>
      <c r="D3" s="1" t="s">
        <v>12</v>
      </c>
      <c r="E3" s="25">
        <v>2</v>
      </c>
      <c r="F3" s="25">
        <v>45000</v>
      </c>
      <c r="G3" s="25">
        <v>250000</v>
      </c>
      <c r="H3" s="25">
        <v>96</v>
      </c>
      <c r="I3" s="1" t="s">
        <v>50</v>
      </c>
      <c r="J3" s="22" t="str">
        <f>IF(F3&gt;80000,"High Salary","Low Salary")</f>
        <v>Low Salary</v>
      </c>
      <c r="K3" s="22" t="str">
        <f>IF(G3&gt;=500000,"A",IF(G3&gt;=350000,"B",IF(G3&gt;=250000,"C",IF(G3&gt;=150000,"D","E"))))</f>
        <v>C</v>
      </c>
      <c r="L3" s="22" t="str" cm="1">
        <f t="array" ref="L3">_xlfn.IFS(H3&gt;=95,"Oustanding",H3&gt;=90,"Excellent",H3&gt;=80,"Good",H3&gt;=70,"Average",TRUE,"Poor")</f>
        <v>Oustanding</v>
      </c>
      <c r="M3" s="22" t="str">
        <f>IF(AND(E3&gt;=5,I3="Excellent"),"Eligible","Not Eligible")</f>
        <v>Not Eligible</v>
      </c>
      <c r="N3" s="22" t="str">
        <f>IF(OR(C3="IT",C3="Marketing"),"Yes","No")</f>
        <v>Yes</v>
      </c>
      <c r="O3" s="22" cm="1">
        <f t="array" ref="O3">_xlfn.SWITCH(C3,"IT",101,"HR",102,"Sales",103,"Finance",104,"Marketing",105,"Not Available")</f>
        <v>101</v>
      </c>
    </row>
    <row r="4" spans="1:15" ht="18.600000000000001" customHeight="1" x14ac:dyDescent="0.3">
      <c r="A4" s="1" t="s">
        <v>51</v>
      </c>
      <c r="B4" s="1" t="s">
        <v>52</v>
      </c>
      <c r="C4" s="1" t="s">
        <v>15</v>
      </c>
      <c r="D4" s="1" t="s">
        <v>16</v>
      </c>
      <c r="E4" s="25">
        <v>5</v>
      </c>
      <c r="F4" s="25">
        <v>68000</v>
      </c>
      <c r="G4" s="25">
        <v>180000</v>
      </c>
      <c r="H4" s="25">
        <v>89</v>
      </c>
      <c r="I4" s="1" t="s">
        <v>53</v>
      </c>
      <c r="J4" s="22" t="str">
        <f t="shared" ref="J4:J22" si="0">IF(F4&gt;80000,"High Salary","Low Salary")</f>
        <v>Low Salary</v>
      </c>
      <c r="K4" s="22" t="str">
        <f t="shared" ref="K4:K22" si="1">IF(G4&gt;=500000,"A",IF(G4&gt;=350000,"B",IF(G4&gt;=250000,"C",IF(G4&gt;=150000,"D","E"))))</f>
        <v>D</v>
      </c>
      <c r="L4" s="22" t="str" cm="1">
        <f t="array" ref="L4">_xlfn.IFS(H4&gt;=95,"Oustanding",H4&gt;=90,"Excellent",H4&gt;=80,"Good",H4&gt;=70,"Average",TRUE,"Poor")</f>
        <v>Good</v>
      </c>
      <c r="M4" s="22" t="str">
        <f t="shared" ref="M4:M22" si="2">IF(AND(E4&gt;=5,I4="Excellent"),"Eligible","Not Eligible")</f>
        <v>Not Eligible</v>
      </c>
      <c r="N4" s="22" t="str">
        <f t="shared" ref="N4:N22" si="3">IF(OR(C4="IT",C4="Marketing"),"Yes","No")</f>
        <v>No</v>
      </c>
      <c r="O4" s="22" cm="1">
        <f t="array" ref="O4">_xlfn.SWITCH(C4,"IT",101,"HR",102,"Sales",103,"Finance",104,"Marketing",105,"Not Available")</f>
        <v>102</v>
      </c>
    </row>
    <row r="5" spans="1:15" ht="14.4" customHeight="1" x14ac:dyDescent="0.3">
      <c r="A5" s="1" t="s">
        <v>54</v>
      </c>
      <c r="B5" s="1" t="s">
        <v>55</v>
      </c>
      <c r="C5" s="1" t="s">
        <v>45</v>
      </c>
      <c r="D5" s="1" t="s">
        <v>19</v>
      </c>
      <c r="E5" s="25">
        <v>4</v>
      </c>
      <c r="F5" s="25">
        <v>55000</v>
      </c>
      <c r="G5" s="25">
        <v>320000</v>
      </c>
      <c r="H5" s="25">
        <v>92</v>
      </c>
      <c r="I5" s="1" t="s">
        <v>50</v>
      </c>
      <c r="J5" s="22" t="str">
        <f t="shared" si="0"/>
        <v>Low Salary</v>
      </c>
      <c r="K5" s="22" t="str">
        <f t="shared" si="1"/>
        <v>C</v>
      </c>
      <c r="L5" s="22" t="str" cm="1">
        <f t="array" ref="L5">_xlfn.IFS(H5&gt;=95,"Oustanding",H5&gt;=90,"Excellent",H5&gt;=80,"Good",H5&gt;=70,"Average",TRUE,"Poor")</f>
        <v>Excellent</v>
      </c>
      <c r="M5" s="22" t="str">
        <f t="shared" si="2"/>
        <v>Not Eligible</v>
      </c>
      <c r="N5" s="22" t="str">
        <f t="shared" si="3"/>
        <v>No</v>
      </c>
      <c r="O5" s="22" cm="1">
        <f t="array" ref="O5">_xlfn.SWITCH(C5,"IT",101,"HR",102,"Sales",103,"Finance",104,"Marketing",105,"Not Available")</f>
        <v>103</v>
      </c>
    </row>
    <row r="6" spans="1:15" x14ac:dyDescent="0.3">
      <c r="A6" s="1" t="s">
        <v>56</v>
      </c>
      <c r="B6" s="1" t="s">
        <v>57</v>
      </c>
      <c r="C6" s="1" t="s">
        <v>18</v>
      </c>
      <c r="D6" s="1" t="s">
        <v>23</v>
      </c>
      <c r="E6" s="25">
        <v>12</v>
      </c>
      <c r="F6" s="25">
        <v>98000</v>
      </c>
      <c r="G6" s="25">
        <v>150000</v>
      </c>
      <c r="H6" s="25">
        <v>94</v>
      </c>
      <c r="I6" s="1" t="s">
        <v>50</v>
      </c>
      <c r="J6" s="22" t="str">
        <f t="shared" si="0"/>
        <v>High Salary</v>
      </c>
      <c r="K6" s="22" t="str">
        <f t="shared" si="1"/>
        <v>D</v>
      </c>
      <c r="L6" s="22" t="str" cm="1">
        <f t="array" ref="L6">_xlfn.IFS(H6&gt;=95,"Oustanding",H6&gt;=90,"Excellent",H6&gt;=80,"Good",H6&gt;=70,"Average",TRUE,"Poor")</f>
        <v>Excellent</v>
      </c>
      <c r="M6" s="22" t="str">
        <f t="shared" si="2"/>
        <v>Eligible</v>
      </c>
      <c r="N6" s="22" t="str">
        <f t="shared" si="3"/>
        <v>No</v>
      </c>
      <c r="O6" s="22" cm="1">
        <f t="array" ref="O6">_xlfn.SWITCH(C6,"IT",101,"HR",102,"Sales",103,"Finance",104,"Marketing",105,"Not Available")</f>
        <v>104</v>
      </c>
    </row>
    <row r="7" spans="1:15" x14ac:dyDescent="0.3">
      <c r="A7" s="1" t="s">
        <v>58</v>
      </c>
      <c r="B7" s="1" t="s">
        <v>59</v>
      </c>
      <c r="C7" s="1" t="s">
        <v>22</v>
      </c>
      <c r="D7" s="1" t="s">
        <v>25</v>
      </c>
      <c r="E7" s="25">
        <v>1</v>
      </c>
      <c r="F7" s="25">
        <v>38000</v>
      </c>
      <c r="G7" s="25">
        <v>210000</v>
      </c>
      <c r="H7" s="25">
        <v>82</v>
      </c>
      <c r="I7" s="1" t="s">
        <v>60</v>
      </c>
      <c r="J7" s="22" t="str">
        <f t="shared" si="0"/>
        <v>Low Salary</v>
      </c>
      <c r="K7" s="22" t="str">
        <f t="shared" si="1"/>
        <v>D</v>
      </c>
      <c r="L7" s="22" t="str" cm="1">
        <f t="array" ref="L7">_xlfn.IFS(H7&gt;=95,"Oustanding",H7&gt;=90,"Excellent",H7&gt;=80,"Good",H7&gt;=70,"Average",TRUE,"Poor")</f>
        <v>Good</v>
      </c>
      <c r="M7" s="22" t="str">
        <f t="shared" si="2"/>
        <v>Not Eligible</v>
      </c>
      <c r="N7" s="22" t="str">
        <f t="shared" si="3"/>
        <v>Yes</v>
      </c>
      <c r="O7" s="22" cm="1">
        <f t="array" ref="O7">_xlfn.SWITCH(C7,"IT",101,"HR",102,"Sales",103,"Finance",104,"Marketing",105,"Not Available")</f>
        <v>105</v>
      </c>
    </row>
    <row r="8" spans="1:15" ht="19.2" customHeight="1" x14ac:dyDescent="0.3">
      <c r="A8" s="1" t="s">
        <v>61</v>
      </c>
      <c r="B8" s="1" t="s">
        <v>62</v>
      </c>
      <c r="C8" s="1" t="s">
        <v>11</v>
      </c>
      <c r="D8" s="1" t="s">
        <v>12</v>
      </c>
      <c r="E8" s="25">
        <v>9</v>
      </c>
      <c r="F8" s="25">
        <v>87000</v>
      </c>
      <c r="G8" s="25">
        <v>400000</v>
      </c>
      <c r="H8" s="25">
        <v>97</v>
      </c>
      <c r="I8" s="1" t="s">
        <v>50</v>
      </c>
      <c r="J8" s="22" t="str">
        <f t="shared" si="0"/>
        <v>High Salary</v>
      </c>
      <c r="K8" s="22" t="str">
        <f t="shared" si="1"/>
        <v>B</v>
      </c>
      <c r="L8" s="22" t="str" cm="1">
        <f t="array" ref="L8">_xlfn.IFS(H8&gt;=95,"Oustanding",H8&gt;=90,"Excellent",H8&gt;=80,"Good",H8&gt;=70,"Average",TRUE,"Poor")</f>
        <v>Oustanding</v>
      </c>
      <c r="M8" s="22" t="str">
        <f t="shared" si="2"/>
        <v>Eligible</v>
      </c>
      <c r="N8" s="22" t="str">
        <f t="shared" si="3"/>
        <v>Yes</v>
      </c>
      <c r="O8" s="22" cm="1">
        <f t="array" ref="O8">_xlfn.SWITCH(C8,"IT",101,"HR",102,"Sales",103,"Finance",104,"Marketing",105,"Not Available")</f>
        <v>101</v>
      </c>
    </row>
    <row r="9" spans="1:15" x14ac:dyDescent="0.3">
      <c r="A9" s="1" t="s">
        <v>63</v>
      </c>
      <c r="B9" s="1" t="s">
        <v>64</v>
      </c>
      <c r="C9" s="1" t="s">
        <v>45</v>
      </c>
      <c r="D9" s="1" t="s">
        <v>16</v>
      </c>
      <c r="E9" s="25">
        <v>6</v>
      </c>
      <c r="F9" s="25">
        <v>72000</v>
      </c>
      <c r="G9" s="25">
        <v>350000</v>
      </c>
      <c r="H9" s="25">
        <v>88</v>
      </c>
      <c r="I9" s="1" t="s">
        <v>53</v>
      </c>
      <c r="J9" s="22" t="str">
        <f t="shared" si="0"/>
        <v>Low Salary</v>
      </c>
      <c r="K9" s="22" t="str">
        <f t="shared" si="1"/>
        <v>B</v>
      </c>
      <c r="L9" s="22" t="str" cm="1">
        <f t="array" ref="L9">_xlfn.IFS(H9&gt;=95,"Oustanding",H9&gt;=90,"Excellent",H9&gt;=80,"Good",H9&gt;=70,"Average",TRUE,"Poor")</f>
        <v>Good</v>
      </c>
      <c r="M9" s="22" t="str">
        <f t="shared" si="2"/>
        <v>Not Eligible</v>
      </c>
      <c r="N9" s="22" t="str">
        <f t="shared" si="3"/>
        <v>No</v>
      </c>
      <c r="O9" s="22" cm="1">
        <f t="array" ref="O9">_xlfn.SWITCH(C9,"IT",101,"HR",102,"Sales",103,"Finance",104,"Marketing",105,"Not Available")</f>
        <v>103</v>
      </c>
    </row>
    <row r="10" spans="1:15" x14ac:dyDescent="0.3">
      <c r="A10" s="1" t="s">
        <v>65</v>
      </c>
      <c r="B10" s="1" t="s">
        <v>66</v>
      </c>
      <c r="C10" s="1" t="s">
        <v>15</v>
      </c>
      <c r="D10" s="1" t="s">
        <v>19</v>
      </c>
      <c r="E10" s="25">
        <v>3</v>
      </c>
      <c r="F10" s="25">
        <v>48000</v>
      </c>
      <c r="G10" s="25">
        <v>170000</v>
      </c>
      <c r="H10" s="25">
        <v>76</v>
      </c>
      <c r="I10" s="1" t="s">
        <v>60</v>
      </c>
      <c r="J10" s="22" t="str">
        <f t="shared" si="0"/>
        <v>Low Salary</v>
      </c>
      <c r="K10" s="22" t="str">
        <f t="shared" si="1"/>
        <v>D</v>
      </c>
      <c r="L10" s="22" t="str" cm="1">
        <f t="array" ref="L10">_xlfn.IFS(H10&gt;=95,"Oustanding",H10&gt;=90,"Excellent",H10&gt;=80,"Good",H10&gt;=70,"Average",TRUE,"Poor")</f>
        <v>Average</v>
      </c>
      <c r="M10" s="22" t="str">
        <f t="shared" si="2"/>
        <v>Not Eligible</v>
      </c>
      <c r="N10" s="22" t="str">
        <f t="shared" si="3"/>
        <v>No</v>
      </c>
      <c r="O10" s="22" cm="1">
        <f t="array" ref="O10">_xlfn.SWITCH(C10,"IT",101,"HR",102,"Sales",103,"Finance",104,"Marketing",105,"Not Available")</f>
        <v>102</v>
      </c>
    </row>
    <row r="11" spans="1:15" x14ac:dyDescent="0.3">
      <c r="A11" s="1" t="s">
        <v>67</v>
      </c>
      <c r="B11" s="1" t="s">
        <v>68</v>
      </c>
      <c r="C11" s="1" t="s">
        <v>18</v>
      </c>
      <c r="D11" s="1" t="s">
        <v>12</v>
      </c>
      <c r="E11" s="25">
        <v>8</v>
      </c>
      <c r="F11" s="25">
        <v>81000</v>
      </c>
      <c r="G11" s="25">
        <v>290000</v>
      </c>
      <c r="H11" s="25">
        <v>91</v>
      </c>
      <c r="I11" s="1" t="s">
        <v>50</v>
      </c>
      <c r="J11" s="22" t="str">
        <f t="shared" si="0"/>
        <v>High Salary</v>
      </c>
      <c r="K11" s="22" t="str">
        <f t="shared" si="1"/>
        <v>C</v>
      </c>
      <c r="L11" s="22" t="str" cm="1">
        <f t="array" ref="L11">_xlfn.IFS(H11&gt;=95,"Oustanding",H11&gt;=90,"Excellent",H11&gt;=80,"Good",H11&gt;=70,"Average",TRUE,"Poor")</f>
        <v>Excellent</v>
      </c>
      <c r="M11" s="22" t="str">
        <f t="shared" si="2"/>
        <v>Eligible</v>
      </c>
      <c r="N11" s="22" t="str">
        <f t="shared" si="3"/>
        <v>No</v>
      </c>
      <c r="O11" s="22" cm="1">
        <f t="array" ref="O11">_xlfn.SWITCH(C11,"IT",101,"HR",102,"Sales",103,"Finance",104,"Marketing",105,"Not Available")</f>
        <v>104</v>
      </c>
    </row>
    <row r="12" spans="1:15" x14ac:dyDescent="0.3">
      <c r="A12" s="1" t="s">
        <v>69</v>
      </c>
      <c r="B12" s="1" t="s">
        <v>70</v>
      </c>
      <c r="C12" s="1" t="s">
        <v>11</v>
      </c>
      <c r="D12" s="1" t="s">
        <v>25</v>
      </c>
      <c r="E12" s="25">
        <v>5</v>
      </c>
      <c r="F12" s="25">
        <v>70000</v>
      </c>
      <c r="G12" s="25">
        <v>260000</v>
      </c>
      <c r="H12" s="25">
        <v>86</v>
      </c>
      <c r="I12" s="1" t="s">
        <v>53</v>
      </c>
      <c r="J12" s="22" t="str">
        <f t="shared" si="0"/>
        <v>Low Salary</v>
      </c>
      <c r="K12" s="22" t="str">
        <f t="shared" si="1"/>
        <v>C</v>
      </c>
      <c r="L12" s="22" t="str" cm="1">
        <f t="array" ref="L12">_xlfn.IFS(H12&gt;=95,"Oustanding",H12&gt;=90,"Excellent",H12&gt;=80,"Good",H12&gt;=70,"Average",TRUE,"Poor")</f>
        <v>Good</v>
      </c>
      <c r="M12" s="22" t="str">
        <f t="shared" si="2"/>
        <v>Not Eligible</v>
      </c>
      <c r="N12" s="22" t="str">
        <f t="shared" si="3"/>
        <v>Yes</v>
      </c>
      <c r="O12" s="22" cm="1">
        <f t="array" ref="O12">_xlfn.SWITCH(C12,"IT",101,"HR",102,"Sales",103,"Finance",104,"Marketing",105,"Not Available")</f>
        <v>101</v>
      </c>
    </row>
    <row r="13" spans="1:15" x14ac:dyDescent="0.3">
      <c r="A13" s="1" t="s">
        <v>71</v>
      </c>
      <c r="B13" s="1" t="s">
        <v>72</v>
      </c>
      <c r="C13" s="1" t="s">
        <v>22</v>
      </c>
      <c r="D13" s="1" t="s">
        <v>23</v>
      </c>
      <c r="E13" s="25">
        <v>2</v>
      </c>
      <c r="F13" s="25">
        <v>43000</v>
      </c>
      <c r="G13" s="25">
        <v>240000</v>
      </c>
      <c r="H13" s="25">
        <v>79</v>
      </c>
      <c r="I13" s="1" t="s">
        <v>60</v>
      </c>
      <c r="J13" s="22" t="str">
        <f t="shared" si="0"/>
        <v>Low Salary</v>
      </c>
      <c r="K13" s="22" t="str">
        <f t="shared" si="1"/>
        <v>D</v>
      </c>
      <c r="L13" s="22" t="str" cm="1">
        <f t="array" ref="L13">_xlfn.IFS(H13&gt;=95,"Oustanding",H13&gt;=90,"Excellent",H13&gt;=80,"Good",H13&gt;=70,"Average",TRUE,"Poor")</f>
        <v>Average</v>
      </c>
      <c r="M13" s="22" t="str">
        <f t="shared" si="2"/>
        <v>Not Eligible</v>
      </c>
      <c r="N13" s="22" t="str">
        <f t="shared" si="3"/>
        <v>Yes</v>
      </c>
      <c r="O13" s="22" cm="1">
        <f t="array" ref="O13">_xlfn.SWITCH(C13,"IT",101,"HR",102,"Sales",103,"Finance",104,"Marketing",105,"Not Available")</f>
        <v>105</v>
      </c>
    </row>
    <row r="14" spans="1:15" x14ac:dyDescent="0.3">
      <c r="A14" s="1" t="s">
        <v>73</v>
      </c>
      <c r="B14" s="1" t="s">
        <v>74</v>
      </c>
      <c r="C14" s="1" t="s">
        <v>45</v>
      </c>
      <c r="D14" s="1" t="s">
        <v>12</v>
      </c>
      <c r="E14" s="25">
        <v>10</v>
      </c>
      <c r="F14" s="25">
        <v>93000</v>
      </c>
      <c r="G14" s="25">
        <v>510000</v>
      </c>
      <c r="H14" s="25">
        <v>98</v>
      </c>
      <c r="I14" s="1" t="s">
        <v>50</v>
      </c>
      <c r="J14" s="22" t="str">
        <f t="shared" si="0"/>
        <v>High Salary</v>
      </c>
      <c r="K14" s="22" t="str">
        <f t="shared" si="1"/>
        <v>A</v>
      </c>
      <c r="L14" s="22" t="str" cm="1">
        <f t="array" ref="L14">_xlfn.IFS(H14&gt;=95,"Oustanding",H14&gt;=90,"Excellent",H14&gt;=80,"Good",H14&gt;=70,"Average",TRUE,"Poor")</f>
        <v>Oustanding</v>
      </c>
      <c r="M14" s="22" t="str">
        <f t="shared" si="2"/>
        <v>Eligible</v>
      </c>
      <c r="N14" s="22" t="str">
        <f t="shared" si="3"/>
        <v>No</v>
      </c>
      <c r="O14" s="22" cm="1">
        <f t="array" ref="O14">_xlfn.SWITCH(C14,"IT",101,"HR",102,"Sales",103,"Finance",104,"Marketing",105,"Not Available")</f>
        <v>103</v>
      </c>
    </row>
    <row r="15" spans="1:15" x14ac:dyDescent="0.3">
      <c r="A15" s="1" t="s">
        <v>75</v>
      </c>
      <c r="B15" s="1" t="s">
        <v>76</v>
      </c>
      <c r="C15" s="1" t="s">
        <v>18</v>
      </c>
      <c r="D15" s="1" t="s">
        <v>16</v>
      </c>
      <c r="E15" s="25">
        <v>11</v>
      </c>
      <c r="F15" s="25">
        <v>91000</v>
      </c>
      <c r="G15" s="25">
        <v>230000</v>
      </c>
      <c r="H15" s="25">
        <v>93</v>
      </c>
      <c r="I15" s="1" t="s">
        <v>50</v>
      </c>
      <c r="J15" s="22" t="str">
        <f t="shared" si="0"/>
        <v>High Salary</v>
      </c>
      <c r="K15" s="22" t="str">
        <f t="shared" si="1"/>
        <v>D</v>
      </c>
      <c r="L15" s="22" t="str" cm="1">
        <f t="array" ref="L15">_xlfn.IFS(H15&gt;=95,"Oustanding",H15&gt;=90,"Excellent",H15&gt;=80,"Good",H15&gt;=70,"Average",TRUE,"Poor")</f>
        <v>Excellent</v>
      </c>
      <c r="M15" s="22" t="str">
        <f t="shared" si="2"/>
        <v>Eligible</v>
      </c>
      <c r="N15" s="22" t="str">
        <f t="shared" si="3"/>
        <v>No</v>
      </c>
      <c r="O15" s="22" cm="1">
        <f t="array" ref="O15">_xlfn.SWITCH(C15,"IT",101,"HR",102,"Sales",103,"Finance",104,"Marketing",105,"Not Available")</f>
        <v>104</v>
      </c>
    </row>
    <row r="16" spans="1:15" x14ac:dyDescent="0.3">
      <c r="A16" s="1" t="s">
        <v>77</v>
      </c>
      <c r="B16" s="1" t="s">
        <v>78</v>
      </c>
      <c r="C16" s="1" t="s">
        <v>11</v>
      </c>
      <c r="D16" s="1" t="s">
        <v>19</v>
      </c>
      <c r="E16" s="25">
        <v>1</v>
      </c>
      <c r="F16" s="25">
        <v>35000</v>
      </c>
      <c r="G16" s="25">
        <v>140000</v>
      </c>
      <c r="H16" s="25">
        <v>74</v>
      </c>
      <c r="I16" s="1" t="s">
        <v>60</v>
      </c>
      <c r="J16" s="22" t="str">
        <f t="shared" si="0"/>
        <v>Low Salary</v>
      </c>
      <c r="K16" s="22" t="str">
        <f t="shared" si="1"/>
        <v>E</v>
      </c>
      <c r="L16" s="22" t="str" cm="1">
        <f t="array" ref="L16">_xlfn.IFS(H16&gt;=95,"Oustanding",H16&gt;=90,"Excellent",H16&gt;=80,"Good",H16&gt;=70,"Average",TRUE,"Poor")</f>
        <v>Average</v>
      </c>
      <c r="M16" s="22" t="str">
        <f t="shared" si="2"/>
        <v>Not Eligible</v>
      </c>
      <c r="N16" s="22" t="str">
        <f t="shared" si="3"/>
        <v>Yes</v>
      </c>
      <c r="O16" s="22" cm="1">
        <f t="array" ref="O16">_xlfn.SWITCH(C16,"IT",101,"HR",102,"Sales",103,"Finance",104,"Marketing",105,"Not Available")</f>
        <v>101</v>
      </c>
    </row>
    <row r="17" spans="1:15" x14ac:dyDescent="0.3">
      <c r="A17" s="1" t="s">
        <v>79</v>
      </c>
      <c r="B17" s="1" t="s">
        <v>80</v>
      </c>
      <c r="C17" s="1" t="s">
        <v>15</v>
      </c>
      <c r="D17" s="1" t="s">
        <v>25</v>
      </c>
      <c r="E17" s="25">
        <v>7</v>
      </c>
      <c r="F17" s="25">
        <v>76000</v>
      </c>
      <c r="G17" s="25">
        <v>220000</v>
      </c>
      <c r="H17" s="25">
        <v>90</v>
      </c>
      <c r="I17" s="1" t="s">
        <v>53</v>
      </c>
      <c r="J17" s="22" t="str">
        <f t="shared" si="0"/>
        <v>Low Salary</v>
      </c>
      <c r="K17" s="22" t="str">
        <f t="shared" si="1"/>
        <v>D</v>
      </c>
      <c r="L17" s="22" t="str" cm="1">
        <f t="array" ref="L17">_xlfn.IFS(H17&gt;=95,"Oustanding",H17&gt;=90,"Excellent",H17&gt;=80,"Good",H17&gt;=70,"Average",TRUE,"Poor")</f>
        <v>Excellent</v>
      </c>
      <c r="M17" s="22" t="str">
        <f t="shared" si="2"/>
        <v>Not Eligible</v>
      </c>
      <c r="N17" s="22" t="str">
        <f t="shared" si="3"/>
        <v>No</v>
      </c>
      <c r="O17" s="22" cm="1">
        <f t="array" ref="O17">_xlfn.SWITCH(C17,"IT",101,"HR",102,"Sales",103,"Finance",104,"Marketing",105,"Not Available")</f>
        <v>102</v>
      </c>
    </row>
    <row r="18" spans="1:15" x14ac:dyDescent="0.3">
      <c r="A18" s="1" t="s">
        <v>81</v>
      </c>
      <c r="B18" s="1" t="s">
        <v>82</v>
      </c>
      <c r="C18" s="1" t="s">
        <v>45</v>
      </c>
      <c r="D18" s="1" t="s">
        <v>12</v>
      </c>
      <c r="E18" s="25">
        <v>15</v>
      </c>
      <c r="F18" s="25">
        <v>115000</v>
      </c>
      <c r="G18" s="25">
        <v>650000</v>
      </c>
      <c r="H18" s="25">
        <v>99</v>
      </c>
      <c r="I18" s="1" t="s">
        <v>50</v>
      </c>
      <c r="J18" s="22" t="str">
        <f t="shared" si="0"/>
        <v>High Salary</v>
      </c>
      <c r="K18" s="22" t="str">
        <f t="shared" si="1"/>
        <v>A</v>
      </c>
      <c r="L18" s="22" t="str" cm="1">
        <f t="array" ref="L18">_xlfn.IFS(H18&gt;=95,"Oustanding",H18&gt;=90,"Excellent",H18&gt;=80,"Good",H18&gt;=70,"Average",TRUE,"Poor")</f>
        <v>Oustanding</v>
      </c>
      <c r="M18" s="22" t="str">
        <f t="shared" si="2"/>
        <v>Eligible</v>
      </c>
      <c r="N18" s="22" t="str">
        <f t="shared" si="3"/>
        <v>No</v>
      </c>
      <c r="O18" s="22" cm="1">
        <f t="array" ref="O18">_xlfn.SWITCH(C18,"IT",101,"HR",102,"Sales",103,"Finance",104,"Marketing",105,"Not Available")</f>
        <v>103</v>
      </c>
    </row>
    <row r="19" spans="1:15" x14ac:dyDescent="0.3">
      <c r="A19" s="1" t="s">
        <v>83</v>
      </c>
      <c r="B19" s="1" t="s">
        <v>84</v>
      </c>
      <c r="C19" s="1" t="s">
        <v>22</v>
      </c>
      <c r="D19" s="1" t="s">
        <v>16</v>
      </c>
      <c r="E19" s="25">
        <v>1</v>
      </c>
      <c r="F19" s="25">
        <v>36000</v>
      </c>
      <c r="G19" s="25">
        <v>160000</v>
      </c>
      <c r="H19" s="25">
        <v>77</v>
      </c>
      <c r="I19" s="1" t="s">
        <v>60</v>
      </c>
      <c r="J19" s="22" t="str">
        <f t="shared" si="0"/>
        <v>Low Salary</v>
      </c>
      <c r="K19" s="22" t="str">
        <f t="shared" si="1"/>
        <v>D</v>
      </c>
      <c r="L19" s="22" t="str" cm="1">
        <f t="array" ref="L19">_xlfn.IFS(H19&gt;=95,"Oustanding",H19&gt;=90,"Excellent",H19&gt;=80,"Good",H19&gt;=70,"Average",TRUE,"Poor")</f>
        <v>Average</v>
      </c>
      <c r="M19" s="22" t="str">
        <f t="shared" si="2"/>
        <v>Not Eligible</v>
      </c>
      <c r="N19" s="22" t="str">
        <f t="shared" si="3"/>
        <v>Yes</v>
      </c>
      <c r="O19" s="22" cm="1">
        <f t="array" ref="O19">_xlfn.SWITCH(C19,"IT",101,"HR",102,"Sales",103,"Finance",104,"Marketing",105,"Not Available")</f>
        <v>105</v>
      </c>
    </row>
    <row r="20" spans="1:15" x14ac:dyDescent="0.3">
      <c r="A20" s="1" t="s">
        <v>85</v>
      </c>
      <c r="B20" s="1" t="s">
        <v>86</v>
      </c>
      <c r="C20" s="1" t="s">
        <v>11</v>
      </c>
      <c r="D20" s="1" t="s">
        <v>23</v>
      </c>
      <c r="E20" s="25">
        <v>10</v>
      </c>
      <c r="F20" s="25">
        <v>94000</v>
      </c>
      <c r="G20" s="25">
        <v>470000</v>
      </c>
      <c r="H20" s="25">
        <v>95</v>
      </c>
      <c r="I20" s="1" t="s">
        <v>50</v>
      </c>
      <c r="J20" s="22" t="str">
        <f t="shared" si="0"/>
        <v>High Salary</v>
      </c>
      <c r="K20" s="22" t="str">
        <f t="shared" si="1"/>
        <v>B</v>
      </c>
      <c r="L20" s="22" t="str" cm="1">
        <f t="array" ref="L20">_xlfn.IFS(H20&gt;=95,"Oustanding",H20&gt;=90,"Excellent",H20&gt;=80,"Good",H20&gt;=70,"Average",TRUE,"Poor")</f>
        <v>Oustanding</v>
      </c>
      <c r="M20" s="22" t="str">
        <f t="shared" si="2"/>
        <v>Eligible</v>
      </c>
      <c r="N20" s="22" t="str">
        <f t="shared" si="3"/>
        <v>Yes</v>
      </c>
      <c r="O20" s="22" cm="1">
        <f t="array" ref="O20">_xlfn.SWITCH(C20,"IT",101,"HR",102,"Sales",103,"Finance",104,"Marketing",105,"Not Available")</f>
        <v>101</v>
      </c>
    </row>
    <row r="21" spans="1:15" x14ac:dyDescent="0.3">
      <c r="A21" s="1" t="s">
        <v>87</v>
      </c>
      <c r="B21" s="1" t="s">
        <v>88</v>
      </c>
      <c r="C21" s="1" t="s">
        <v>18</v>
      </c>
      <c r="D21" s="1" t="s">
        <v>19</v>
      </c>
      <c r="E21" s="25">
        <v>4</v>
      </c>
      <c r="F21" s="25">
        <v>61000</v>
      </c>
      <c r="G21" s="25">
        <v>280000</v>
      </c>
      <c r="H21" s="25">
        <v>87</v>
      </c>
      <c r="I21" s="1" t="s">
        <v>53</v>
      </c>
      <c r="J21" s="22" t="str">
        <f t="shared" si="0"/>
        <v>Low Salary</v>
      </c>
      <c r="K21" s="22" t="str">
        <f t="shared" si="1"/>
        <v>C</v>
      </c>
      <c r="L21" s="22" t="str" cm="1">
        <f t="array" ref="L21">_xlfn.IFS(H21&gt;=95,"Oustanding",H21&gt;=90,"Excellent",H21&gt;=80,"Good",H21&gt;=70,"Average",TRUE,"Poor")</f>
        <v>Good</v>
      </c>
      <c r="M21" s="22" t="str">
        <f t="shared" si="2"/>
        <v>Not Eligible</v>
      </c>
      <c r="N21" s="22" t="str">
        <f t="shared" si="3"/>
        <v>No</v>
      </c>
      <c r="O21" s="22" cm="1">
        <f t="array" ref="O21">_xlfn.SWITCH(C21,"IT",101,"HR",102,"Sales",103,"Finance",104,"Marketing",105,"Not Available")</f>
        <v>104</v>
      </c>
    </row>
    <row r="22" spans="1:15" x14ac:dyDescent="0.3">
      <c r="A22" s="1" t="s">
        <v>89</v>
      </c>
      <c r="B22" s="1" t="s">
        <v>90</v>
      </c>
      <c r="C22" s="1" t="s">
        <v>15</v>
      </c>
      <c r="D22" s="1" t="s">
        <v>12</v>
      </c>
      <c r="E22" s="25">
        <v>8</v>
      </c>
      <c r="F22" s="25">
        <v>79000</v>
      </c>
      <c r="G22" s="25">
        <v>260000</v>
      </c>
      <c r="H22" s="25">
        <v>92</v>
      </c>
      <c r="I22" s="1" t="s">
        <v>50</v>
      </c>
      <c r="J22" s="22" t="str">
        <f t="shared" si="0"/>
        <v>Low Salary</v>
      </c>
      <c r="K22" s="22" t="str">
        <f t="shared" si="1"/>
        <v>C</v>
      </c>
      <c r="L22" s="22" t="str" cm="1">
        <f t="array" ref="L22">_xlfn.IFS(H22&gt;=95,"Oustanding",H22&gt;=90,"Excellent",H22&gt;=80,"Good",H22&gt;=70,"Average",TRUE,"Poor")</f>
        <v>Excellent</v>
      </c>
      <c r="M22" s="22" t="str">
        <f t="shared" si="2"/>
        <v>Eligible</v>
      </c>
      <c r="N22" s="22" t="str">
        <f t="shared" si="3"/>
        <v>No</v>
      </c>
      <c r="O22" s="22" cm="1">
        <f t="array" ref="O22">_xlfn.SWITCH(C22,"IT",101,"HR",102,"Sales",103,"Finance",104,"Marketing",105,"Not Available")</f>
        <v>102</v>
      </c>
    </row>
    <row r="23" spans="1:15" x14ac:dyDescent="0.3">
      <c r="A23" s="28"/>
      <c r="B23" s="28"/>
      <c r="C23" s="28"/>
      <c r="D23" s="28"/>
      <c r="E23" s="29"/>
      <c r="F23" s="29"/>
      <c r="G23" s="29"/>
      <c r="H23" s="29"/>
      <c r="I23" s="28"/>
      <c r="J23" s="30"/>
      <c r="K23" s="30"/>
      <c r="L23" s="30"/>
      <c r="M23" s="30"/>
      <c r="N23" s="30"/>
      <c r="O23" s="30"/>
    </row>
    <row r="24" spans="1:15" x14ac:dyDescent="0.3">
      <c r="A24" s="24"/>
      <c r="B24" s="24"/>
      <c r="C24" s="24"/>
      <c r="D24" s="24"/>
      <c r="E24" s="31"/>
      <c r="F24" s="31"/>
      <c r="G24" s="31"/>
      <c r="H24" s="31"/>
      <c r="I24" s="24"/>
    </row>
    <row r="25" spans="1:15" x14ac:dyDescent="0.3">
      <c r="A25" s="24"/>
      <c r="B25" s="24"/>
      <c r="C25" s="24"/>
      <c r="D25" s="24"/>
      <c r="E25" s="31"/>
      <c r="F25" s="31"/>
      <c r="G25" s="31"/>
      <c r="H25" s="31"/>
      <c r="I25" s="24"/>
    </row>
    <row r="26" spans="1:15" x14ac:dyDescent="0.3">
      <c r="A26" s="24"/>
      <c r="B26" s="24"/>
      <c r="C26" s="24"/>
      <c r="D26" s="24"/>
      <c r="E26" s="31"/>
      <c r="F26" s="31"/>
      <c r="G26" s="31"/>
      <c r="H26" s="31"/>
      <c r="I26" s="24"/>
    </row>
    <row r="27" spans="1:15" x14ac:dyDescent="0.3">
      <c r="A27" s="24"/>
      <c r="B27" s="24"/>
      <c r="C27" s="24"/>
      <c r="D27" s="24"/>
      <c r="E27" s="31"/>
      <c r="F27" s="31"/>
      <c r="G27" s="31"/>
      <c r="H27" s="31"/>
      <c r="I27" s="24"/>
    </row>
    <row r="28" spans="1:15" x14ac:dyDescent="0.3">
      <c r="A28" s="24"/>
      <c r="B28" s="24"/>
      <c r="C28" s="24"/>
      <c r="D28" s="24"/>
      <c r="E28" s="31"/>
      <c r="F28" s="31"/>
      <c r="G28" s="31"/>
      <c r="H28" s="31"/>
      <c r="I28" s="24"/>
    </row>
    <row r="29" spans="1:15" x14ac:dyDescent="0.3">
      <c r="A29" s="24"/>
      <c r="B29" s="24"/>
      <c r="C29" s="24"/>
      <c r="D29" s="24"/>
      <c r="E29" s="31"/>
      <c r="F29" s="31"/>
      <c r="G29" s="31"/>
      <c r="H29" s="31"/>
      <c r="I29" s="24"/>
    </row>
    <row r="30" spans="1:15" x14ac:dyDescent="0.3">
      <c r="A30" s="24"/>
      <c r="B30" s="24"/>
      <c r="C30" s="24"/>
      <c r="D30" s="24"/>
      <c r="E30" s="31"/>
      <c r="F30" s="31"/>
      <c r="G30" s="31"/>
      <c r="H30" s="31"/>
      <c r="I30" s="24"/>
    </row>
    <row r="31" spans="1:15" x14ac:dyDescent="0.3">
      <c r="A31" s="24"/>
      <c r="B31" s="24"/>
      <c r="C31" s="24"/>
      <c r="D31" s="24"/>
      <c r="E31" s="31"/>
      <c r="F31" s="31"/>
      <c r="G31" s="31"/>
      <c r="H31" s="31"/>
      <c r="I31" s="24"/>
    </row>
    <row r="32" spans="1:15" x14ac:dyDescent="0.3">
      <c r="A32" s="24"/>
      <c r="B32" s="24"/>
      <c r="C32" s="24"/>
      <c r="D32" s="24"/>
      <c r="E32" s="31"/>
      <c r="F32" s="31"/>
      <c r="G32" s="31"/>
      <c r="H32" s="31"/>
      <c r="I32" s="24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Arithmetic and common functions</vt:lpstr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Madhuri</dc:creator>
  <cp:lastModifiedBy>Divya Madhuri</cp:lastModifiedBy>
  <dcterms:created xsi:type="dcterms:W3CDTF">2026-06-20T09:09:40Z</dcterms:created>
  <dcterms:modified xsi:type="dcterms:W3CDTF">2026-06-30T04:53:01Z</dcterms:modified>
</cp:coreProperties>
</file>