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a Chukka git\Excel\"/>
    </mc:Choice>
  </mc:AlternateContent>
  <xr:revisionPtr revIDLastSave="0" documentId="13_ncr:1_{8AFD8D6A-1C7B-41AE-A752-943A62AE4AE1}" xr6:coauthVersionLast="47" xr6:coauthVersionMax="47" xr10:uidLastSave="{00000000-0000-0000-0000-000000000000}"/>
  <bookViews>
    <workbookView xWindow="-108" yWindow="-108" windowWidth="23256" windowHeight="12456" activeTab="1" xr2:uid="{934E562D-0484-4747-8726-7EC0BF3DEB04}"/>
  </bookViews>
  <sheets>
    <sheet name="Text Functions" sheetId="2" r:id="rId1"/>
    <sheet name="Date and Time Fun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3" l="1"/>
  <c r="J22" i="3"/>
  <c r="I22" i="3"/>
  <c r="H22" i="3"/>
  <c r="G22" i="3"/>
  <c r="K21" i="3"/>
  <c r="J21" i="3"/>
  <c r="I21" i="3"/>
  <c r="H21" i="3"/>
  <c r="G21" i="3"/>
  <c r="K20" i="3"/>
  <c r="J20" i="3"/>
  <c r="I20" i="3"/>
  <c r="H20" i="3"/>
  <c r="G20" i="3"/>
  <c r="K19" i="3"/>
  <c r="J19" i="3"/>
  <c r="I19" i="3"/>
  <c r="H19" i="3"/>
  <c r="G19" i="3"/>
  <c r="K18" i="3"/>
  <c r="J18" i="3"/>
  <c r="I18" i="3"/>
  <c r="H18" i="3"/>
  <c r="G18" i="3"/>
  <c r="K17" i="3"/>
  <c r="J17" i="3"/>
  <c r="I17" i="3"/>
  <c r="H17" i="3"/>
  <c r="G17" i="3"/>
  <c r="K16" i="3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K5" i="3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  <c r="V22" i="2"/>
  <c r="U22" i="2"/>
  <c r="S22" i="2"/>
  <c r="R22" i="2"/>
  <c r="Q22" i="2"/>
  <c r="T22" i="2" s="1"/>
  <c r="P22" i="2"/>
  <c r="W22" i="2" s="1"/>
  <c r="O22" i="2"/>
  <c r="N22" i="2"/>
  <c r="M22" i="2"/>
  <c r="L22" i="2"/>
  <c r="K22" i="2"/>
  <c r="J22" i="2"/>
  <c r="I22" i="2"/>
  <c r="V21" i="2"/>
  <c r="U21" i="2"/>
  <c r="T21" i="2"/>
  <c r="S21" i="2"/>
  <c r="R21" i="2"/>
  <c r="Q21" i="2"/>
  <c r="P21" i="2"/>
  <c r="W21" i="2" s="1"/>
  <c r="O21" i="2"/>
  <c r="N21" i="2"/>
  <c r="M21" i="2"/>
  <c r="L21" i="2"/>
  <c r="K21" i="2"/>
  <c r="J21" i="2"/>
  <c r="I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V19" i="2"/>
  <c r="U19" i="2"/>
  <c r="T19" i="2"/>
  <c r="S19" i="2"/>
  <c r="R19" i="2"/>
  <c r="Q19" i="2"/>
  <c r="P19" i="2"/>
  <c r="W19" i="2" s="1"/>
  <c r="O19" i="2"/>
  <c r="N19" i="2"/>
  <c r="M19" i="2"/>
  <c r="L19" i="2"/>
  <c r="K19" i="2"/>
  <c r="J19" i="2"/>
  <c r="I19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V16" i="2"/>
  <c r="U16" i="2"/>
  <c r="T16" i="2"/>
  <c r="S16" i="2"/>
  <c r="R16" i="2"/>
  <c r="Q16" i="2"/>
  <c r="P16" i="2"/>
  <c r="W16" i="2" s="1"/>
  <c r="O16" i="2"/>
  <c r="N16" i="2"/>
  <c r="M16" i="2"/>
  <c r="L16" i="2"/>
  <c r="K16" i="2"/>
  <c r="J16" i="2"/>
  <c r="I16" i="2"/>
  <c r="V15" i="2"/>
  <c r="U15" i="2"/>
  <c r="T15" i="2"/>
  <c r="S15" i="2"/>
  <c r="R15" i="2"/>
  <c r="Q15" i="2"/>
  <c r="P15" i="2"/>
  <c r="W15" i="2" s="1"/>
  <c r="O15" i="2"/>
  <c r="N15" i="2"/>
  <c r="M15" i="2"/>
  <c r="L15" i="2"/>
  <c r="K15" i="2"/>
  <c r="J15" i="2"/>
  <c r="I15" i="2"/>
  <c r="W14" i="2"/>
  <c r="V14" i="2"/>
  <c r="U14" i="2"/>
  <c r="S14" i="2"/>
  <c r="R14" i="2"/>
  <c r="Q14" i="2"/>
  <c r="T14" i="2" s="1"/>
  <c r="P14" i="2"/>
  <c r="O14" i="2"/>
  <c r="N14" i="2"/>
  <c r="M14" i="2"/>
  <c r="L14" i="2"/>
  <c r="K14" i="2"/>
  <c r="J14" i="2"/>
  <c r="I14" i="2"/>
  <c r="V13" i="2"/>
  <c r="U13" i="2"/>
  <c r="S13" i="2"/>
  <c r="R13" i="2"/>
  <c r="Q13" i="2"/>
  <c r="T13" i="2" s="1"/>
  <c r="P13" i="2"/>
  <c r="W13" i="2" s="1"/>
  <c r="O13" i="2"/>
  <c r="N13" i="2"/>
  <c r="M13" i="2"/>
  <c r="L13" i="2"/>
  <c r="K13" i="2"/>
  <c r="J13" i="2"/>
  <c r="I13" i="2"/>
  <c r="W12" i="2"/>
  <c r="V12" i="2"/>
  <c r="U12" i="2"/>
  <c r="S12" i="2"/>
  <c r="R12" i="2"/>
  <c r="Q12" i="2"/>
  <c r="T12" i="2" s="1"/>
  <c r="P12" i="2"/>
  <c r="O12" i="2"/>
  <c r="N12" i="2"/>
  <c r="M12" i="2"/>
  <c r="L12" i="2"/>
  <c r="K12" i="2"/>
  <c r="J12" i="2"/>
  <c r="I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V8" i="2"/>
  <c r="U8" i="2"/>
  <c r="T8" i="2"/>
  <c r="S8" i="2"/>
  <c r="R8" i="2"/>
  <c r="Q8" i="2"/>
  <c r="P8" i="2"/>
  <c r="W8" i="2" s="1"/>
  <c r="O8" i="2"/>
  <c r="N8" i="2"/>
  <c r="M8" i="2"/>
  <c r="L8" i="2"/>
  <c r="K8" i="2"/>
  <c r="J8" i="2"/>
  <c r="I8" i="2"/>
  <c r="V7" i="2"/>
  <c r="U7" i="2"/>
  <c r="T7" i="2"/>
  <c r="S7" i="2"/>
  <c r="R7" i="2"/>
  <c r="Q7" i="2"/>
  <c r="P7" i="2"/>
  <c r="W7" i="2" s="1"/>
  <c r="O7" i="2"/>
  <c r="N7" i="2"/>
  <c r="M7" i="2"/>
  <c r="L7" i="2"/>
  <c r="K7" i="2"/>
  <c r="J7" i="2"/>
  <c r="I7" i="2"/>
  <c r="W6" i="2"/>
  <c r="V6" i="2"/>
  <c r="U6" i="2"/>
  <c r="S6" i="2"/>
  <c r="R6" i="2"/>
  <c r="Q6" i="2"/>
  <c r="T6" i="2" s="1"/>
  <c r="P6" i="2"/>
  <c r="O6" i="2"/>
  <c r="N6" i="2"/>
  <c r="M6" i="2"/>
  <c r="L6" i="2"/>
  <c r="K6" i="2"/>
  <c r="J6" i="2"/>
  <c r="I6" i="2"/>
  <c r="V5" i="2"/>
  <c r="U5" i="2"/>
  <c r="S5" i="2"/>
  <c r="R5" i="2"/>
  <c r="Q5" i="2"/>
  <c r="T5" i="2" s="1"/>
  <c r="P5" i="2"/>
  <c r="W5" i="2" s="1"/>
  <c r="O5" i="2"/>
  <c r="N5" i="2"/>
  <c r="M5" i="2"/>
  <c r="L5" i="2"/>
  <c r="K5" i="2"/>
  <c r="J5" i="2"/>
  <c r="I5" i="2"/>
  <c r="W4" i="2"/>
  <c r="V4" i="2"/>
  <c r="U4" i="2"/>
  <c r="S4" i="2"/>
  <c r="R4" i="2"/>
  <c r="Q4" i="2"/>
  <c r="T4" i="2" s="1"/>
  <c r="P4" i="2"/>
  <c r="O4" i="2"/>
  <c r="N4" i="2"/>
  <c r="M4" i="2"/>
  <c r="L4" i="2"/>
  <c r="K4" i="2"/>
  <c r="J4" i="2"/>
  <c r="I4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sharedStrings.xml><?xml version="1.0" encoding="utf-8"?>
<sst xmlns="http://schemas.openxmlformats.org/spreadsheetml/2006/main" count="196" uniqueCount="177">
  <si>
    <t>Employee</t>
  </si>
  <si>
    <t>City</t>
  </si>
  <si>
    <t>E001</t>
  </si>
  <si>
    <t>Alice</t>
  </si>
  <si>
    <t>Hyderabad</t>
  </si>
  <si>
    <t>E002</t>
  </si>
  <si>
    <t>Bob</t>
  </si>
  <si>
    <t>Chennai</t>
  </si>
  <si>
    <t>E003</t>
  </si>
  <si>
    <t>Charlie</t>
  </si>
  <si>
    <t>Bangalore</t>
  </si>
  <si>
    <t>E004</t>
  </si>
  <si>
    <t>David</t>
  </si>
  <si>
    <t>Mumbai</t>
  </si>
  <si>
    <t>E005</t>
  </si>
  <si>
    <t>Emma</t>
  </si>
  <si>
    <t>Pune</t>
  </si>
  <si>
    <t>E006</t>
  </si>
  <si>
    <t>Frank</t>
  </si>
  <si>
    <t>E007</t>
  </si>
  <si>
    <t>Grace</t>
  </si>
  <si>
    <t>E008</t>
  </si>
  <si>
    <t>Henry</t>
  </si>
  <si>
    <t>E009</t>
  </si>
  <si>
    <t>Ivy</t>
  </si>
  <si>
    <t>E010</t>
  </si>
  <si>
    <t>Jack</t>
  </si>
  <si>
    <t>E011</t>
  </si>
  <si>
    <t>Karen</t>
  </si>
  <si>
    <t>E012</t>
  </si>
  <si>
    <t>Liam</t>
  </si>
  <si>
    <t>E013</t>
  </si>
  <si>
    <t>Mia</t>
  </si>
  <si>
    <t>E014</t>
  </si>
  <si>
    <t>Noah</t>
  </si>
  <si>
    <t>E015</t>
  </si>
  <si>
    <t>Olivia</t>
  </si>
  <si>
    <t>E016</t>
  </si>
  <si>
    <t>Peter</t>
  </si>
  <si>
    <t>E017</t>
  </si>
  <si>
    <t>Queen</t>
  </si>
  <si>
    <t>E018</t>
  </si>
  <si>
    <t>Ryan</t>
  </si>
  <si>
    <t>E019</t>
  </si>
  <si>
    <t>Sophia</t>
  </si>
  <si>
    <t>E020</t>
  </si>
  <si>
    <t>Thomas</t>
  </si>
  <si>
    <t>TEXT FUNCTIONS</t>
  </si>
  <si>
    <t>ID</t>
  </si>
  <si>
    <t>First Name</t>
  </si>
  <si>
    <t>Last Name</t>
  </si>
  <si>
    <t>Full Name</t>
  </si>
  <si>
    <t>Email</t>
  </si>
  <si>
    <t>Product Code</t>
  </si>
  <si>
    <t>Phone</t>
  </si>
  <si>
    <t>Product code letters(LEFT)</t>
  </si>
  <si>
    <t>Product code digits(RIGHT)</t>
  </si>
  <si>
    <t>Numeric code(MID)</t>
  </si>
  <si>
    <t>Name length(LENTGH)</t>
  </si>
  <si>
    <t>Trim Names(TRIM)</t>
  </si>
  <si>
    <t>First name(UPPER)</t>
  </si>
  <si>
    <t>Last name(LOWER)</t>
  </si>
  <si>
    <t>Capitilize City(PROPER)</t>
  </si>
  <si>
    <t>Employee ID (CONCAT)</t>
  </si>
  <si>
    <t>TEXTJOIN</t>
  </si>
  <si>
    <t>SUBSTITUTE</t>
  </si>
  <si>
    <t>REPLACE</t>
  </si>
  <si>
    <t>FIND</t>
  </si>
  <si>
    <t>SEARCH</t>
  </si>
  <si>
    <t>Location Hyderabad(EXACT)</t>
  </si>
  <si>
    <t>alice</t>
  </si>
  <si>
    <t>johnson</t>
  </si>
  <si>
    <t>alice   johnson</t>
  </si>
  <si>
    <t>alice.johnson@gmail.com</t>
  </si>
  <si>
    <t>LAP-1001</t>
  </si>
  <si>
    <t>hyderabad</t>
  </si>
  <si>
    <t>BOB</t>
  </si>
  <si>
    <t>Smith</t>
  </si>
  <si>
    <t>BOB         Smith</t>
  </si>
  <si>
    <t>bob.smith@yahoo.com</t>
  </si>
  <si>
    <t>MOB-2034</t>
  </si>
  <si>
    <t>charlie</t>
  </si>
  <si>
    <t>Brown</t>
  </si>
  <si>
    <t>charlie Brown</t>
  </si>
  <si>
    <t>charlie@outlook.com</t>
  </si>
  <si>
    <t>TAB-5012</t>
  </si>
  <si>
    <t>bangalore</t>
  </si>
  <si>
    <t>Miller</t>
  </si>
  <si>
    <t>David Miller</t>
  </si>
  <si>
    <t>david.miller@gmail.com</t>
  </si>
  <si>
    <t>LAP-3210</t>
  </si>
  <si>
    <t>emma</t>
  </si>
  <si>
    <t>Davis</t>
  </si>
  <si>
    <t>emma Davis</t>
  </si>
  <si>
    <t>emma@yahoo.com</t>
  </si>
  <si>
    <t>MON-7654</t>
  </si>
  <si>
    <t>pune</t>
  </si>
  <si>
    <t>FRANK</t>
  </si>
  <si>
    <t>Wilson</t>
  </si>
  <si>
    <t xml:space="preserve">     FRANK Wilson</t>
  </si>
  <si>
    <t>frank@gmail.com</t>
  </si>
  <si>
    <t>PRI-1200</t>
  </si>
  <si>
    <t>Taylor</t>
  </si>
  <si>
    <t>Grace Taylor</t>
  </si>
  <si>
    <t>grace@company.com</t>
  </si>
  <si>
    <t>CAM-5678</t>
  </si>
  <si>
    <t>henry</t>
  </si>
  <si>
    <t>Anderson</t>
  </si>
  <si>
    <t>henry Anderson</t>
  </si>
  <si>
    <t>henry@yahoo.com</t>
  </si>
  <si>
    <t>MOB-9012</t>
  </si>
  <si>
    <t>Ivy Thomas</t>
  </si>
  <si>
    <t>ivy@outlook.com</t>
  </si>
  <si>
    <t>TAB-1122</t>
  </si>
  <si>
    <t>Delhi</t>
  </si>
  <si>
    <t>JACK</t>
  </si>
  <si>
    <t>Jackson</t>
  </si>
  <si>
    <t>JACK Jackson</t>
  </si>
  <si>
    <t>jack@gmail.com</t>
  </si>
  <si>
    <t>LAP-7788</t>
  </si>
  <si>
    <t>Kolkata</t>
  </si>
  <si>
    <t>karen</t>
  </si>
  <si>
    <t>White</t>
  </si>
  <si>
    <t>karen White</t>
  </si>
  <si>
    <t>karen@gmail.com</t>
  </si>
  <si>
    <t>PRI-4500</t>
  </si>
  <si>
    <t>Harris</t>
  </si>
  <si>
    <t>Liam             Harris</t>
  </si>
  <si>
    <t>liam@yahoo.com</t>
  </si>
  <si>
    <t>CAM-8800</t>
  </si>
  <si>
    <t>mia</t>
  </si>
  <si>
    <t>Martin</t>
  </si>
  <si>
    <t>mia Martin</t>
  </si>
  <si>
    <t>mia@company.com</t>
  </si>
  <si>
    <t>MON-2200</t>
  </si>
  <si>
    <t>Thompson</t>
  </si>
  <si>
    <t>Noah Thompson</t>
  </si>
  <si>
    <t>noah@gmail.com</t>
  </si>
  <si>
    <t>LAP-6500</t>
  </si>
  <si>
    <t>OLIVIA</t>
  </si>
  <si>
    <t>Garcia</t>
  </si>
  <si>
    <t>OLIVIA Garcia</t>
  </si>
  <si>
    <t>olivia@yahoo.com</t>
  </si>
  <si>
    <t>MOB-4400</t>
  </si>
  <si>
    <t>Martinez</t>
  </si>
  <si>
    <t>Peter Martinez</t>
  </si>
  <si>
    <t>peter@gmail.com</t>
  </si>
  <si>
    <t>TAB-7700</t>
  </si>
  <si>
    <t>queen</t>
  </si>
  <si>
    <t>Robinson</t>
  </si>
  <si>
    <t>queen       Robinson</t>
  </si>
  <si>
    <t>queen@outlook.com</t>
  </si>
  <si>
    <t>PRI-9900</t>
  </si>
  <si>
    <t>Clark</t>
  </si>
  <si>
    <t xml:space="preserve">        Ryan     Clark</t>
  </si>
  <si>
    <t>ryan@gmail.com</t>
  </si>
  <si>
    <t>CAM-3400</t>
  </si>
  <si>
    <t>sophia</t>
  </si>
  <si>
    <t>Rodriguez</t>
  </si>
  <si>
    <t>sophia Rodriguez</t>
  </si>
  <si>
    <t>sophia@yahoo.com</t>
  </si>
  <si>
    <t>LAP-5500</t>
  </si>
  <si>
    <t>Lewis</t>
  </si>
  <si>
    <t>Thomas Lewis</t>
  </si>
  <si>
    <t>thomas@gmail.com</t>
  </si>
  <si>
    <t>MOB-6600</t>
  </si>
  <si>
    <t>DATE AND TIME FUNCTIONS</t>
  </si>
  <si>
    <t>Employee ID</t>
  </si>
  <si>
    <t>Join Date</t>
  </si>
  <si>
    <t>Birth Date</t>
  </si>
  <si>
    <t>Project Start</t>
  </si>
  <si>
    <t>Project End</t>
  </si>
  <si>
    <t>Extract Birth year(YEAR)</t>
  </si>
  <si>
    <t>Extract Project start month(MONTH)</t>
  </si>
  <si>
    <t>Next year join date(EDATE)</t>
  </si>
  <si>
    <t>Age(DATEDIF)</t>
  </si>
  <si>
    <t>Working Days(Start to today)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</si>
</sst>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3" borderId="3" xfId="4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horizontal="center"/>
    </xf>
    <xf numFmtId="0" fontId="2" fillId="0" borderId="1" xfId="1" applyAlignment="1">
      <alignment horizontal="center"/>
    </xf>
    <xf numFmtId="0" fontId="2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5" applyBorder="1" applyAlignment="1">
      <alignment vertical="center" wrapText="1"/>
    </xf>
    <xf numFmtId="0" fontId="3" fillId="0" borderId="2" xfId="2" applyAlignment="1">
      <alignment horizontal="center"/>
    </xf>
    <xf numFmtId="0" fontId="1" fillId="3" borderId="0" xfId="4" applyAlignment="1">
      <alignment horizontal="center" vertical="center" wrapText="1"/>
    </xf>
    <xf numFmtId="14" fontId="1" fillId="3" borderId="0" xfId="4" applyNumberFormat="1" applyAlignment="1">
      <alignment horizontal="center" vertical="center" wrapText="1"/>
    </xf>
    <xf numFmtId="164" fontId="1" fillId="3" borderId="0" xfId="4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14" fontId="1" fillId="2" borderId="0" xfId="3" applyNumberFormat="1" applyAlignment="1">
      <alignment horizontal="center" vertical="center" wrapText="1"/>
    </xf>
    <xf numFmtId="0" fontId="1" fillId="2" borderId="0" xfId="3" applyNumberFormat="1" applyAlignment="1">
      <alignment horizontal="center" vertical="center" wrapText="1"/>
    </xf>
  </cellXfs>
  <cellStyles count="6">
    <cellStyle name="40% - Accent1" xfId="3" builtinId="31"/>
    <cellStyle name="60% - Accent1" xfId="4" builtinId="32"/>
    <cellStyle name="Heading 1" xfId="1" builtinId="16"/>
    <cellStyle name="Heading 2" xfId="2" builtinId="17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y@yahoo.com" TargetMode="External"/><Relationship Id="rId13" Type="http://schemas.openxmlformats.org/officeDocument/2006/relationships/hyperlink" Target="mailto:mia@company.com" TargetMode="External"/><Relationship Id="rId18" Type="http://schemas.openxmlformats.org/officeDocument/2006/relationships/hyperlink" Target="mailto:ryan@gmail.com" TargetMode="External"/><Relationship Id="rId3" Type="http://schemas.openxmlformats.org/officeDocument/2006/relationships/hyperlink" Target="mailto:charlie@outlook.com" TargetMode="External"/><Relationship Id="rId7" Type="http://schemas.openxmlformats.org/officeDocument/2006/relationships/hyperlink" Target="mailto:grace@company.com" TargetMode="External"/><Relationship Id="rId12" Type="http://schemas.openxmlformats.org/officeDocument/2006/relationships/hyperlink" Target="mailto:liam@yahoo.com" TargetMode="External"/><Relationship Id="rId17" Type="http://schemas.openxmlformats.org/officeDocument/2006/relationships/hyperlink" Target="mailto:queen@outlook.com" TargetMode="External"/><Relationship Id="rId2" Type="http://schemas.openxmlformats.org/officeDocument/2006/relationships/hyperlink" Target="mailto:bob.smith@yahoo.com" TargetMode="External"/><Relationship Id="rId16" Type="http://schemas.openxmlformats.org/officeDocument/2006/relationships/hyperlink" Target="mailto:peter@gmail.com" TargetMode="External"/><Relationship Id="rId20" Type="http://schemas.openxmlformats.org/officeDocument/2006/relationships/hyperlink" Target="mailto:thomas@gmail.com" TargetMode="External"/><Relationship Id="rId1" Type="http://schemas.openxmlformats.org/officeDocument/2006/relationships/hyperlink" Target="mailto:alice.johnson@gmail.com" TargetMode="External"/><Relationship Id="rId6" Type="http://schemas.openxmlformats.org/officeDocument/2006/relationships/hyperlink" Target="mailto:frank@gmail.com" TargetMode="External"/><Relationship Id="rId11" Type="http://schemas.openxmlformats.org/officeDocument/2006/relationships/hyperlink" Target="mailto:karen@gmail.com" TargetMode="External"/><Relationship Id="rId5" Type="http://schemas.openxmlformats.org/officeDocument/2006/relationships/hyperlink" Target="mailto:emma@yahoo.com" TargetMode="External"/><Relationship Id="rId15" Type="http://schemas.openxmlformats.org/officeDocument/2006/relationships/hyperlink" Target="mailto:olivia@yahoo.com" TargetMode="External"/><Relationship Id="rId10" Type="http://schemas.openxmlformats.org/officeDocument/2006/relationships/hyperlink" Target="mailto:jack@gmail.com" TargetMode="External"/><Relationship Id="rId19" Type="http://schemas.openxmlformats.org/officeDocument/2006/relationships/hyperlink" Target="mailto:sophia@yahoo.com" TargetMode="External"/><Relationship Id="rId4" Type="http://schemas.openxmlformats.org/officeDocument/2006/relationships/hyperlink" Target="mailto:david.miller@gmail.com" TargetMode="External"/><Relationship Id="rId9" Type="http://schemas.openxmlformats.org/officeDocument/2006/relationships/hyperlink" Target="mailto:ivy@outlook.com" TargetMode="External"/><Relationship Id="rId14" Type="http://schemas.openxmlformats.org/officeDocument/2006/relationships/hyperlink" Target="mailto:no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7DD6-FB72-47BC-908D-014DBE099417}">
  <dimension ref="A1:W22"/>
  <sheetViews>
    <sheetView workbookViewId="0">
      <pane ySplit="2" topLeftCell="A3" activePane="bottomLeft" state="frozen"/>
      <selection pane="bottomLeft" activeCell="A3" sqref="A3"/>
    </sheetView>
  </sheetViews>
  <sheetFormatPr defaultRowHeight="14.4" x14ac:dyDescent="0.3"/>
  <sheetData>
    <row r="1" spans="1:23" ht="20.399999999999999" thickBot="1" x14ac:dyDescent="0.45">
      <c r="A1" s="4"/>
      <c r="B1" s="5" t="s">
        <v>47</v>
      </c>
      <c r="C1" s="5"/>
      <c r="D1" s="5"/>
      <c r="E1" s="5"/>
      <c r="F1" s="5"/>
      <c r="G1" s="5"/>
      <c r="H1" s="5"/>
      <c r="I1" s="6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58.2" thickTop="1" x14ac:dyDescent="0.3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1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 t="s">
        <v>67</v>
      </c>
      <c r="V2" s="1" t="s">
        <v>68</v>
      </c>
      <c r="W2" s="1" t="s">
        <v>69</v>
      </c>
    </row>
    <row r="3" spans="1:23" ht="43.2" x14ac:dyDescent="0.3">
      <c r="A3" s="2">
        <v>101</v>
      </c>
      <c r="B3" s="2" t="s">
        <v>70</v>
      </c>
      <c r="C3" s="2" t="s">
        <v>71</v>
      </c>
      <c r="D3" s="2" t="s">
        <v>72</v>
      </c>
      <c r="E3" s="8" t="s">
        <v>73</v>
      </c>
      <c r="F3" s="2" t="s">
        <v>74</v>
      </c>
      <c r="G3" s="2" t="s">
        <v>75</v>
      </c>
      <c r="H3" s="2">
        <v>9876543210</v>
      </c>
      <c r="I3" s="3" t="str">
        <f>LEFT(F3,3)</f>
        <v>LAP</v>
      </c>
      <c r="J3" s="3" t="str">
        <f>RIGHT(F3,4)</f>
        <v>1001</v>
      </c>
      <c r="K3" s="3" t="str">
        <f>MID(F3,5,4)</f>
        <v>1001</v>
      </c>
      <c r="L3" s="3">
        <f>LEN(D3)</f>
        <v>15</v>
      </c>
      <c r="M3" s="3" t="str">
        <f>TRIM(D3)</f>
        <v>alice johnson</v>
      </c>
      <c r="N3" s="3" t="str">
        <f>UPPER(B3)</f>
        <v>ALICE</v>
      </c>
      <c r="O3" s="3" t="str">
        <f>LOWER(C3)</f>
        <v>johnson</v>
      </c>
      <c r="P3" s="3" t="str">
        <f>PROPER(G3)</f>
        <v>Hyderabad</v>
      </c>
      <c r="Q3" s="3" t="str">
        <f>_xlfn.CONCAT("EMP-"&amp;A3)</f>
        <v>EMP-101</v>
      </c>
      <c r="R3" s="3" t="str">
        <f>_xlfn.TEXTJOIN(", ",TRUE,B3:C3,G3)</f>
        <v>alice, johnson, hyderabad</v>
      </c>
      <c r="S3" s="3" t="str">
        <f>SUBSTITUTE(F3,"-","/")</f>
        <v>LAP/1001</v>
      </c>
      <c r="T3" s="3" t="str">
        <f>REPLACE(Q3,1,3,"ID")</f>
        <v>ID-101</v>
      </c>
      <c r="U3" s="3">
        <f>FIND("@",E3)</f>
        <v>14</v>
      </c>
      <c r="V3" s="3">
        <f>SEARCH("gmail",E3)</f>
        <v>15</v>
      </c>
      <c r="W3" s="3" t="b">
        <f>EXACT(P3,"Hyderabad")</f>
        <v>1</v>
      </c>
    </row>
    <row r="4" spans="1:23" ht="43.2" x14ac:dyDescent="0.3">
      <c r="A4" s="2">
        <v>102</v>
      </c>
      <c r="B4" s="2" t="s">
        <v>76</v>
      </c>
      <c r="C4" s="2" t="s">
        <v>77</v>
      </c>
      <c r="D4" s="2" t="s">
        <v>78</v>
      </c>
      <c r="E4" s="8" t="s">
        <v>79</v>
      </c>
      <c r="F4" s="2" t="s">
        <v>80</v>
      </c>
      <c r="G4" s="2" t="s">
        <v>7</v>
      </c>
      <c r="H4" s="2">
        <v>9123456780</v>
      </c>
      <c r="I4" s="3" t="str">
        <f t="shared" ref="I4:I22" si="0">LEFT(F4,3)</f>
        <v>MOB</v>
      </c>
      <c r="J4" s="3" t="str">
        <f t="shared" ref="J4:J22" si="1">RIGHT(F4,4)</f>
        <v>2034</v>
      </c>
      <c r="K4" s="3" t="str">
        <f t="shared" ref="K4:K22" si="2">MID(F4,5,4)</f>
        <v>2034</v>
      </c>
      <c r="L4" s="3">
        <f t="shared" ref="L4:L22" si="3">LEN(D4)</f>
        <v>17</v>
      </c>
      <c r="M4" s="3" t="str">
        <f t="shared" ref="M4:M22" si="4">TRIM(D4)</f>
        <v>BOB Smith</v>
      </c>
      <c r="N4" s="3" t="str">
        <f t="shared" ref="N4:N22" si="5">UPPER(B4)</f>
        <v>BOB</v>
      </c>
      <c r="O4" s="3" t="str">
        <f t="shared" ref="O4:O22" si="6">LOWER(C4)</f>
        <v>smith</v>
      </c>
      <c r="P4" s="3" t="str">
        <f t="shared" ref="P4:P22" si="7">PROPER(G4)</f>
        <v>Chennai</v>
      </c>
      <c r="Q4" s="3" t="str">
        <f t="shared" ref="Q4:Q22" si="8">_xlfn.CONCAT("EMP-"&amp;A4)</f>
        <v>EMP-102</v>
      </c>
      <c r="R4" s="3" t="str">
        <f t="shared" ref="R4:R22" si="9">_xlfn.TEXTJOIN(", ",TRUE,B4:C4,G4)</f>
        <v>BOB, Smith, Chennai</v>
      </c>
      <c r="S4" s="3" t="str">
        <f>SUBSTITUTE(F3,"-","/")</f>
        <v>LAP/1001</v>
      </c>
      <c r="T4" s="3" t="str">
        <f t="shared" ref="T4:T22" si="10">REPLACE(Q4,1,3,"ID")</f>
        <v>ID-102</v>
      </c>
      <c r="U4" s="3">
        <f t="shared" ref="U4:U22" si="11">FIND("@",E4)</f>
        <v>10</v>
      </c>
      <c r="V4" s="3" t="e">
        <f t="shared" ref="V4:V22" si="12">SEARCH("gmail",E4)</f>
        <v>#VALUE!</v>
      </c>
      <c r="W4" s="3" t="b">
        <f t="shared" ref="W4:W22" si="13">EXACT(P4,"Hyderabad")</f>
        <v>0</v>
      </c>
    </row>
    <row r="5" spans="1:23" ht="43.2" x14ac:dyDescent="0.3">
      <c r="A5" s="2">
        <v>103</v>
      </c>
      <c r="B5" s="2" t="s">
        <v>81</v>
      </c>
      <c r="C5" s="2" t="s">
        <v>82</v>
      </c>
      <c r="D5" s="2" t="s">
        <v>83</v>
      </c>
      <c r="E5" s="8" t="s">
        <v>84</v>
      </c>
      <c r="F5" s="2" t="s">
        <v>85</v>
      </c>
      <c r="G5" s="2" t="s">
        <v>86</v>
      </c>
      <c r="H5" s="2">
        <v>9988776655</v>
      </c>
      <c r="I5" s="3" t="str">
        <f t="shared" si="0"/>
        <v>TAB</v>
      </c>
      <c r="J5" s="3" t="str">
        <f t="shared" si="1"/>
        <v>5012</v>
      </c>
      <c r="K5" s="3" t="str">
        <f t="shared" si="2"/>
        <v>5012</v>
      </c>
      <c r="L5" s="3">
        <f t="shared" si="3"/>
        <v>13</v>
      </c>
      <c r="M5" s="3" t="str">
        <f t="shared" si="4"/>
        <v>charlie Brown</v>
      </c>
      <c r="N5" s="3" t="str">
        <f t="shared" si="5"/>
        <v>CHARLIE</v>
      </c>
      <c r="O5" s="3" t="str">
        <f t="shared" si="6"/>
        <v>brown</v>
      </c>
      <c r="P5" s="3" t="str">
        <f t="shared" si="7"/>
        <v>Bangalore</v>
      </c>
      <c r="Q5" s="3" t="str">
        <f t="shared" si="8"/>
        <v>EMP-103</v>
      </c>
      <c r="R5" s="3" t="str">
        <f t="shared" si="9"/>
        <v>charlie, Brown, bangalore</v>
      </c>
      <c r="S5" s="3" t="str">
        <f t="shared" ref="S5:S22" si="14">SUBSTITUTE(F4,"-","/")</f>
        <v>MOB/2034</v>
      </c>
      <c r="T5" s="3" t="str">
        <f t="shared" si="10"/>
        <v>ID-103</v>
      </c>
      <c r="U5" s="3">
        <f t="shared" si="11"/>
        <v>8</v>
      </c>
      <c r="V5" s="3" t="e">
        <f t="shared" si="12"/>
        <v>#VALUE!</v>
      </c>
      <c r="W5" s="3" t="b">
        <f t="shared" si="13"/>
        <v>0</v>
      </c>
    </row>
    <row r="6" spans="1:23" ht="43.2" x14ac:dyDescent="0.3">
      <c r="A6" s="2">
        <v>104</v>
      </c>
      <c r="B6" s="2" t="s">
        <v>12</v>
      </c>
      <c r="C6" s="2" t="s">
        <v>87</v>
      </c>
      <c r="D6" s="2" t="s">
        <v>88</v>
      </c>
      <c r="E6" s="8" t="s">
        <v>89</v>
      </c>
      <c r="F6" s="2" t="s">
        <v>90</v>
      </c>
      <c r="G6" s="2" t="s">
        <v>13</v>
      </c>
      <c r="H6" s="2">
        <v>9871234567</v>
      </c>
      <c r="I6" s="3" t="str">
        <f t="shared" si="0"/>
        <v>LAP</v>
      </c>
      <c r="J6" s="3" t="str">
        <f t="shared" si="1"/>
        <v>3210</v>
      </c>
      <c r="K6" s="3" t="str">
        <f t="shared" si="2"/>
        <v>3210</v>
      </c>
      <c r="L6" s="3">
        <f t="shared" si="3"/>
        <v>12</v>
      </c>
      <c r="M6" s="3" t="str">
        <f t="shared" si="4"/>
        <v>David Miller</v>
      </c>
      <c r="N6" s="3" t="str">
        <f t="shared" si="5"/>
        <v>DAVID</v>
      </c>
      <c r="O6" s="3" t="str">
        <f t="shared" si="6"/>
        <v>miller</v>
      </c>
      <c r="P6" s="3" t="str">
        <f t="shared" si="7"/>
        <v>Mumbai</v>
      </c>
      <c r="Q6" s="3" t="str">
        <f t="shared" si="8"/>
        <v>EMP-104</v>
      </c>
      <c r="R6" s="3" t="str">
        <f t="shared" si="9"/>
        <v>David, Miller, Mumbai</v>
      </c>
      <c r="S6" s="3" t="str">
        <f t="shared" si="14"/>
        <v>TAB/5012</v>
      </c>
      <c r="T6" s="3" t="str">
        <f t="shared" si="10"/>
        <v>ID-104</v>
      </c>
      <c r="U6" s="3">
        <f t="shared" si="11"/>
        <v>13</v>
      </c>
      <c r="V6" s="3">
        <f t="shared" si="12"/>
        <v>14</v>
      </c>
      <c r="W6" s="3" t="b">
        <f t="shared" si="13"/>
        <v>0</v>
      </c>
    </row>
    <row r="7" spans="1:23" ht="43.2" x14ac:dyDescent="0.3">
      <c r="A7" s="2">
        <v>105</v>
      </c>
      <c r="B7" s="2" t="s">
        <v>91</v>
      </c>
      <c r="C7" s="2" t="s">
        <v>92</v>
      </c>
      <c r="D7" s="2" t="s">
        <v>93</v>
      </c>
      <c r="E7" s="8" t="s">
        <v>94</v>
      </c>
      <c r="F7" s="2" t="s">
        <v>95</v>
      </c>
      <c r="G7" s="2" t="s">
        <v>96</v>
      </c>
      <c r="H7" s="2">
        <v>9001122334</v>
      </c>
      <c r="I7" s="3" t="str">
        <f t="shared" si="0"/>
        <v>MON</v>
      </c>
      <c r="J7" s="3" t="str">
        <f t="shared" si="1"/>
        <v>7654</v>
      </c>
      <c r="K7" s="3" t="str">
        <f t="shared" si="2"/>
        <v>7654</v>
      </c>
      <c r="L7" s="3">
        <f t="shared" si="3"/>
        <v>10</v>
      </c>
      <c r="M7" s="3" t="str">
        <f t="shared" si="4"/>
        <v>emma Davis</v>
      </c>
      <c r="N7" s="3" t="str">
        <f t="shared" si="5"/>
        <v>EMMA</v>
      </c>
      <c r="O7" s="3" t="str">
        <f t="shared" si="6"/>
        <v>davis</v>
      </c>
      <c r="P7" s="3" t="str">
        <f t="shared" si="7"/>
        <v>Pune</v>
      </c>
      <c r="Q7" s="3" t="str">
        <f t="shared" si="8"/>
        <v>EMP-105</v>
      </c>
      <c r="R7" s="3" t="str">
        <f t="shared" si="9"/>
        <v>emma, Davis, pune</v>
      </c>
      <c r="S7" s="3" t="str">
        <f t="shared" si="14"/>
        <v>LAP/3210</v>
      </c>
      <c r="T7" s="3" t="str">
        <f t="shared" si="10"/>
        <v>ID-105</v>
      </c>
      <c r="U7" s="3">
        <f t="shared" si="11"/>
        <v>5</v>
      </c>
      <c r="V7" s="3" t="e">
        <f t="shared" si="12"/>
        <v>#VALUE!</v>
      </c>
      <c r="W7" s="3" t="b">
        <f t="shared" si="13"/>
        <v>0</v>
      </c>
    </row>
    <row r="8" spans="1:23" ht="28.8" x14ac:dyDescent="0.3">
      <c r="A8" s="2">
        <v>106</v>
      </c>
      <c r="B8" s="2" t="s">
        <v>97</v>
      </c>
      <c r="C8" s="2" t="s">
        <v>98</v>
      </c>
      <c r="D8" s="2" t="s">
        <v>99</v>
      </c>
      <c r="E8" s="8" t="s">
        <v>100</v>
      </c>
      <c r="F8" s="2" t="s">
        <v>101</v>
      </c>
      <c r="G8" s="2" t="s">
        <v>4</v>
      </c>
      <c r="H8" s="2">
        <v>9112233445</v>
      </c>
      <c r="I8" s="3" t="str">
        <f t="shared" si="0"/>
        <v>PRI</v>
      </c>
      <c r="J8" s="3" t="str">
        <f t="shared" si="1"/>
        <v>1200</v>
      </c>
      <c r="K8" s="3" t="str">
        <f t="shared" si="2"/>
        <v>1200</v>
      </c>
      <c r="L8" s="3">
        <f t="shared" si="3"/>
        <v>17</v>
      </c>
      <c r="M8" s="3" t="str">
        <f t="shared" si="4"/>
        <v>FRANK Wilson</v>
      </c>
      <c r="N8" s="3" t="str">
        <f t="shared" si="5"/>
        <v>FRANK</v>
      </c>
      <c r="O8" s="3" t="str">
        <f t="shared" si="6"/>
        <v>wilson</v>
      </c>
      <c r="P8" s="3" t="str">
        <f t="shared" si="7"/>
        <v>Hyderabad</v>
      </c>
      <c r="Q8" s="3" t="str">
        <f t="shared" si="8"/>
        <v>EMP-106</v>
      </c>
      <c r="R8" s="3" t="str">
        <f t="shared" si="9"/>
        <v>FRANK, Wilson, Hyderabad</v>
      </c>
      <c r="S8" s="3" t="str">
        <f t="shared" si="14"/>
        <v>MON/7654</v>
      </c>
      <c r="T8" s="3" t="str">
        <f t="shared" si="10"/>
        <v>ID-106</v>
      </c>
      <c r="U8" s="3">
        <f t="shared" si="11"/>
        <v>6</v>
      </c>
      <c r="V8" s="3">
        <f t="shared" si="12"/>
        <v>7</v>
      </c>
      <c r="W8" s="3" t="b">
        <f t="shared" si="13"/>
        <v>1</v>
      </c>
    </row>
    <row r="9" spans="1:23" ht="43.2" x14ac:dyDescent="0.3">
      <c r="A9" s="2">
        <v>107</v>
      </c>
      <c r="B9" s="2" t="s">
        <v>20</v>
      </c>
      <c r="C9" s="2" t="s">
        <v>102</v>
      </c>
      <c r="D9" s="2" t="s">
        <v>103</v>
      </c>
      <c r="E9" s="8" t="s">
        <v>104</v>
      </c>
      <c r="F9" s="2" t="s">
        <v>105</v>
      </c>
      <c r="G9" s="2" t="s">
        <v>7</v>
      </c>
      <c r="H9" s="2">
        <v>9223344556</v>
      </c>
      <c r="I9" s="3" t="str">
        <f t="shared" si="0"/>
        <v>CAM</v>
      </c>
      <c r="J9" s="3" t="str">
        <f t="shared" si="1"/>
        <v>5678</v>
      </c>
      <c r="K9" s="3" t="str">
        <f t="shared" si="2"/>
        <v>5678</v>
      </c>
      <c r="L9" s="3">
        <f t="shared" si="3"/>
        <v>12</v>
      </c>
      <c r="M9" s="3" t="str">
        <f t="shared" si="4"/>
        <v>Grace Taylor</v>
      </c>
      <c r="N9" s="3" t="str">
        <f t="shared" si="5"/>
        <v>GRACE</v>
      </c>
      <c r="O9" s="3" t="str">
        <f t="shared" si="6"/>
        <v>taylor</v>
      </c>
      <c r="P9" s="3" t="str">
        <f t="shared" si="7"/>
        <v>Chennai</v>
      </c>
      <c r="Q9" s="3" t="str">
        <f t="shared" si="8"/>
        <v>EMP-107</v>
      </c>
      <c r="R9" s="3" t="str">
        <f t="shared" si="9"/>
        <v>Grace, Taylor, Chennai</v>
      </c>
      <c r="S9" s="3" t="str">
        <f t="shared" si="14"/>
        <v>PRI/1200</v>
      </c>
      <c r="T9" s="3" t="str">
        <f t="shared" si="10"/>
        <v>ID-107</v>
      </c>
      <c r="U9" s="3">
        <f t="shared" si="11"/>
        <v>6</v>
      </c>
      <c r="V9" s="3" t="e">
        <f t="shared" si="12"/>
        <v>#VALUE!</v>
      </c>
      <c r="W9" s="3" t="b">
        <f t="shared" si="13"/>
        <v>0</v>
      </c>
    </row>
    <row r="10" spans="1:23" ht="43.2" x14ac:dyDescent="0.3">
      <c r="A10" s="2">
        <v>108</v>
      </c>
      <c r="B10" s="2" t="s">
        <v>106</v>
      </c>
      <c r="C10" s="2" t="s">
        <v>107</v>
      </c>
      <c r="D10" s="2" t="s">
        <v>108</v>
      </c>
      <c r="E10" s="8" t="s">
        <v>109</v>
      </c>
      <c r="F10" s="2" t="s">
        <v>110</v>
      </c>
      <c r="G10" s="2" t="s">
        <v>10</v>
      </c>
      <c r="H10" s="2">
        <v>9334455667</v>
      </c>
      <c r="I10" s="3" t="str">
        <f t="shared" si="0"/>
        <v>MOB</v>
      </c>
      <c r="J10" s="3" t="str">
        <f t="shared" si="1"/>
        <v>9012</v>
      </c>
      <c r="K10" s="3" t="str">
        <f t="shared" si="2"/>
        <v>9012</v>
      </c>
      <c r="L10" s="3">
        <f t="shared" si="3"/>
        <v>14</v>
      </c>
      <c r="M10" s="3" t="str">
        <f t="shared" si="4"/>
        <v>henry Anderson</v>
      </c>
      <c r="N10" s="3" t="str">
        <f t="shared" si="5"/>
        <v>HENRY</v>
      </c>
      <c r="O10" s="3" t="str">
        <f t="shared" si="6"/>
        <v>anderson</v>
      </c>
      <c r="P10" s="3" t="str">
        <f t="shared" si="7"/>
        <v>Bangalore</v>
      </c>
      <c r="Q10" s="3" t="str">
        <f t="shared" si="8"/>
        <v>EMP-108</v>
      </c>
      <c r="R10" s="3" t="str">
        <f t="shared" si="9"/>
        <v>henry, Anderson, Bangalore</v>
      </c>
      <c r="S10" s="3" t="str">
        <f t="shared" si="14"/>
        <v>CAM/5678</v>
      </c>
      <c r="T10" s="3" t="str">
        <f t="shared" si="10"/>
        <v>ID-108</v>
      </c>
      <c r="U10" s="3">
        <f t="shared" si="11"/>
        <v>6</v>
      </c>
      <c r="V10" s="3" t="e">
        <f t="shared" si="12"/>
        <v>#VALUE!</v>
      </c>
      <c r="W10" s="3" t="b">
        <f t="shared" si="13"/>
        <v>0</v>
      </c>
    </row>
    <row r="11" spans="1:23" ht="28.8" x14ac:dyDescent="0.3">
      <c r="A11" s="2">
        <v>109</v>
      </c>
      <c r="B11" s="2" t="s">
        <v>24</v>
      </c>
      <c r="C11" s="2" t="s">
        <v>46</v>
      </c>
      <c r="D11" s="2" t="s">
        <v>111</v>
      </c>
      <c r="E11" s="8" t="s">
        <v>112</v>
      </c>
      <c r="F11" s="2" t="s">
        <v>113</v>
      </c>
      <c r="G11" s="2" t="s">
        <v>114</v>
      </c>
      <c r="H11" s="2">
        <v>9445566778</v>
      </c>
      <c r="I11" s="3" t="str">
        <f t="shared" si="0"/>
        <v>TAB</v>
      </c>
      <c r="J11" s="3" t="str">
        <f t="shared" si="1"/>
        <v>1122</v>
      </c>
      <c r="K11" s="3" t="str">
        <f t="shared" si="2"/>
        <v>1122</v>
      </c>
      <c r="L11" s="3">
        <f t="shared" si="3"/>
        <v>10</v>
      </c>
      <c r="M11" s="3" t="str">
        <f t="shared" si="4"/>
        <v>Ivy Thomas</v>
      </c>
      <c r="N11" s="3" t="str">
        <f t="shared" si="5"/>
        <v>IVY</v>
      </c>
      <c r="O11" s="3" t="str">
        <f t="shared" si="6"/>
        <v>thomas</v>
      </c>
      <c r="P11" s="3" t="str">
        <f t="shared" si="7"/>
        <v>Delhi</v>
      </c>
      <c r="Q11" s="3" t="str">
        <f t="shared" si="8"/>
        <v>EMP-109</v>
      </c>
      <c r="R11" s="3" t="str">
        <f t="shared" si="9"/>
        <v>Ivy, Thomas, Delhi</v>
      </c>
      <c r="S11" s="3" t="str">
        <f t="shared" si="14"/>
        <v>MOB/9012</v>
      </c>
      <c r="T11" s="3" t="str">
        <f t="shared" si="10"/>
        <v>ID-109</v>
      </c>
      <c r="U11" s="3">
        <f t="shared" si="11"/>
        <v>4</v>
      </c>
      <c r="V11" s="3" t="e">
        <f t="shared" si="12"/>
        <v>#VALUE!</v>
      </c>
      <c r="W11" s="3" t="b">
        <f t="shared" si="13"/>
        <v>0</v>
      </c>
    </row>
    <row r="12" spans="1:23" ht="28.8" x14ac:dyDescent="0.3">
      <c r="A12" s="2">
        <v>110</v>
      </c>
      <c r="B12" s="2" t="s">
        <v>115</v>
      </c>
      <c r="C12" s="2" t="s">
        <v>116</v>
      </c>
      <c r="D12" s="2" t="s">
        <v>117</v>
      </c>
      <c r="E12" s="8" t="s">
        <v>118</v>
      </c>
      <c r="F12" s="2" t="s">
        <v>119</v>
      </c>
      <c r="G12" s="2" t="s">
        <v>120</v>
      </c>
      <c r="H12" s="2">
        <v>9556677889</v>
      </c>
      <c r="I12" s="3" t="str">
        <f t="shared" si="0"/>
        <v>LAP</v>
      </c>
      <c r="J12" s="3" t="str">
        <f t="shared" si="1"/>
        <v>7788</v>
      </c>
      <c r="K12" s="3" t="str">
        <f t="shared" si="2"/>
        <v>7788</v>
      </c>
      <c r="L12" s="3">
        <f t="shared" si="3"/>
        <v>12</v>
      </c>
      <c r="M12" s="3" t="str">
        <f t="shared" si="4"/>
        <v>JACK Jackson</v>
      </c>
      <c r="N12" s="3" t="str">
        <f t="shared" si="5"/>
        <v>JACK</v>
      </c>
      <c r="O12" s="3" t="str">
        <f t="shared" si="6"/>
        <v>jackson</v>
      </c>
      <c r="P12" s="3" t="str">
        <f t="shared" si="7"/>
        <v>Kolkata</v>
      </c>
      <c r="Q12" s="3" t="str">
        <f t="shared" si="8"/>
        <v>EMP-110</v>
      </c>
      <c r="R12" s="3" t="str">
        <f t="shared" si="9"/>
        <v>JACK, Jackson, Kolkata</v>
      </c>
      <c r="S12" s="3" t="str">
        <f t="shared" si="14"/>
        <v>TAB/1122</v>
      </c>
      <c r="T12" s="3" t="str">
        <f t="shared" si="10"/>
        <v>ID-110</v>
      </c>
      <c r="U12" s="3">
        <f t="shared" si="11"/>
        <v>5</v>
      </c>
      <c r="V12" s="3">
        <f t="shared" si="12"/>
        <v>6</v>
      </c>
      <c r="W12" s="3" t="b">
        <f t="shared" si="13"/>
        <v>0</v>
      </c>
    </row>
    <row r="13" spans="1:23" ht="28.8" x14ac:dyDescent="0.3">
      <c r="A13" s="2">
        <v>111</v>
      </c>
      <c r="B13" s="2" t="s">
        <v>121</v>
      </c>
      <c r="C13" s="2" t="s">
        <v>122</v>
      </c>
      <c r="D13" s="2" t="s">
        <v>123</v>
      </c>
      <c r="E13" s="8" t="s">
        <v>124</v>
      </c>
      <c r="F13" s="2" t="s">
        <v>125</v>
      </c>
      <c r="G13" s="2" t="s">
        <v>16</v>
      </c>
      <c r="H13" s="2">
        <v>9667788990</v>
      </c>
      <c r="I13" s="3" t="str">
        <f t="shared" si="0"/>
        <v>PRI</v>
      </c>
      <c r="J13" s="3" t="str">
        <f t="shared" si="1"/>
        <v>4500</v>
      </c>
      <c r="K13" s="3" t="str">
        <f t="shared" si="2"/>
        <v>4500</v>
      </c>
      <c r="L13" s="3">
        <f t="shared" si="3"/>
        <v>11</v>
      </c>
      <c r="M13" s="3" t="str">
        <f t="shared" si="4"/>
        <v>karen White</v>
      </c>
      <c r="N13" s="3" t="str">
        <f t="shared" si="5"/>
        <v>KAREN</v>
      </c>
      <c r="O13" s="3" t="str">
        <f t="shared" si="6"/>
        <v>white</v>
      </c>
      <c r="P13" s="3" t="str">
        <f t="shared" si="7"/>
        <v>Pune</v>
      </c>
      <c r="Q13" s="3" t="str">
        <f t="shared" si="8"/>
        <v>EMP-111</v>
      </c>
      <c r="R13" s="3" t="str">
        <f t="shared" si="9"/>
        <v>karen, White, Pune</v>
      </c>
      <c r="S13" s="3" t="str">
        <f t="shared" si="14"/>
        <v>LAP/7788</v>
      </c>
      <c r="T13" s="3" t="str">
        <f t="shared" si="10"/>
        <v>ID-111</v>
      </c>
      <c r="U13" s="3">
        <f t="shared" si="11"/>
        <v>6</v>
      </c>
      <c r="V13" s="3">
        <f t="shared" si="12"/>
        <v>7</v>
      </c>
      <c r="W13" s="3" t="b">
        <f t="shared" si="13"/>
        <v>0</v>
      </c>
    </row>
    <row r="14" spans="1:23" ht="28.8" x14ac:dyDescent="0.3">
      <c r="A14" s="2">
        <v>112</v>
      </c>
      <c r="B14" s="2" t="s">
        <v>30</v>
      </c>
      <c r="C14" s="2" t="s">
        <v>126</v>
      </c>
      <c r="D14" s="2" t="s">
        <v>127</v>
      </c>
      <c r="E14" s="8" t="s">
        <v>128</v>
      </c>
      <c r="F14" s="2" t="s">
        <v>129</v>
      </c>
      <c r="G14" s="2" t="s">
        <v>4</v>
      </c>
      <c r="H14" s="2">
        <v>9778899001</v>
      </c>
      <c r="I14" s="3" t="str">
        <f t="shared" si="0"/>
        <v>CAM</v>
      </c>
      <c r="J14" s="3" t="str">
        <f t="shared" si="1"/>
        <v>8800</v>
      </c>
      <c r="K14" s="3" t="str">
        <f t="shared" si="2"/>
        <v>8800</v>
      </c>
      <c r="L14" s="3">
        <f t="shared" si="3"/>
        <v>23</v>
      </c>
      <c r="M14" s="3" t="str">
        <f t="shared" si="4"/>
        <v>Liam Harris</v>
      </c>
      <c r="N14" s="3" t="str">
        <f t="shared" si="5"/>
        <v>LIAM</v>
      </c>
      <c r="O14" s="3" t="str">
        <f t="shared" si="6"/>
        <v>harris</v>
      </c>
      <c r="P14" s="3" t="str">
        <f t="shared" si="7"/>
        <v>Hyderabad</v>
      </c>
      <c r="Q14" s="3" t="str">
        <f t="shared" si="8"/>
        <v>EMP-112</v>
      </c>
      <c r="R14" s="3" t="str">
        <f t="shared" si="9"/>
        <v>Liam, Harris, Hyderabad</v>
      </c>
      <c r="S14" s="3" t="str">
        <f t="shared" si="14"/>
        <v>PRI/4500</v>
      </c>
      <c r="T14" s="3" t="str">
        <f t="shared" si="10"/>
        <v>ID-112</v>
      </c>
      <c r="U14" s="3">
        <f t="shared" si="11"/>
        <v>5</v>
      </c>
      <c r="V14" s="3" t="e">
        <f t="shared" si="12"/>
        <v>#VALUE!</v>
      </c>
      <c r="W14" s="3" t="b">
        <f t="shared" si="13"/>
        <v>1</v>
      </c>
    </row>
    <row r="15" spans="1:23" ht="43.2" x14ac:dyDescent="0.3">
      <c r="A15" s="2">
        <v>113</v>
      </c>
      <c r="B15" s="2" t="s">
        <v>130</v>
      </c>
      <c r="C15" s="2" t="s">
        <v>131</v>
      </c>
      <c r="D15" s="2" t="s">
        <v>132</v>
      </c>
      <c r="E15" s="8" t="s">
        <v>133</v>
      </c>
      <c r="F15" s="2" t="s">
        <v>134</v>
      </c>
      <c r="G15" s="2" t="s">
        <v>7</v>
      </c>
      <c r="H15" s="2">
        <v>9889900112</v>
      </c>
      <c r="I15" s="3" t="str">
        <f t="shared" si="0"/>
        <v>MON</v>
      </c>
      <c r="J15" s="3" t="str">
        <f t="shared" si="1"/>
        <v>2200</v>
      </c>
      <c r="K15" s="3" t="str">
        <f t="shared" si="2"/>
        <v>2200</v>
      </c>
      <c r="L15" s="3">
        <f t="shared" si="3"/>
        <v>10</v>
      </c>
      <c r="M15" s="3" t="str">
        <f t="shared" si="4"/>
        <v>mia Martin</v>
      </c>
      <c r="N15" s="3" t="str">
        <f t="shared" si="5"/>
        <v>MIA</v>
      </c>
      <c r="O15" s="3" t="str">
        <f t="shared" si="6"/>
        <v>martin</v>
      </c>
      <c r="P15" s="3" t="str">
        <f t="shared" si="7"/>
        <v>Chennai</v>
      </c>
      <c r="Q15" s="3" t="str">
        <f t="shared" si="8"/>
        <v>EMP-113</v>
      </c>
      <c r="R15" s="3" t="str">
        <f t="shared" si="9"/>
        <v>mia, Martin, Chennai</v>
      </c>
      <c r="S15" s="3" t="str">
        <f t="shared" si="14"/>
        <v>CAM/8800</v>
      </c>
      <c r="T15" s="3" t="str">
        <f t="shared" si="10"/>
        <v>ID-113</v>
      </c>
      <c r="U15" s="3">
        <f t="shared" si="11"/>
        <v>4</v>
      </c>
      <c r="V15" s="3" t="e">
        <f t="shared" si="12"/>
        <v>#VALUE!</v>
      </c>
      <c r="W15" s="3" t="b">
        <f t="shared" si="13"/>
        <v>0</v>
      </c>
    </row>
    <row r="16" spans="1:23" ht="43.2" x14ac:dyDescent="0.3">
      <c r="A16" s="2">
        <v>114</v>
      </c>
      <c r="B16" s="2" t="s">
        <v>34</v>
      </c>
      <c r="C16" s="2" t="s">
        <v>135</v>
      </c>
      <c r="D16" s="2" t="s">
        <v>136</v>
      </c>
      <c r="E16" s="8" t="s">
        <v>137</v>
      </c>
      <c r="F16" s="2" t="s">
        <v>138</v>
      </c>
      <c r="G16" s="2" t="s">
        <v>10</v>
      </c>
      <c r="H16" s="2">
        <v>9990011223</v>
      </c>
      <c r="I16" s="3" t="str">
        <f t="shared" si="0"/>
        <v>LAP</v>
      </c>
      <c r="J16" s="3" t="str">
        <f t="shared" si="1"/>
        <v>6500</v>
      </c>
      <c r="K16" s="3" t="str">
        <f t="shared" si="2"/>
        <v>6500</v>
      </c>
      <c r="L16" s="3">
        <f t="shared" si="3"/>
        <v>13</v>
      </c>
      <c r="M16" s="3" t="str">
        <f t="shared" si="4"/>
        <v>Noah Thompson</v>
      </c>
      <c r="N16" s="3" t="str">
        <f t="shared" si="5"/>
        <v>NOAH</v>
      </c>
      <c r="O16" s="3" t="str">
        <f t="shared" si="6"/>
        <v>thompson</v>
      </c>
      <c r="P16" s="3" t="str">
        <f t="shared" si="7"/>
        <v>Bangalore</v>
      </c>
      <c r="Q16" s="3" t="str">
        <f t="shared" si="8"/>
        <v>EMP-114</v>
      </c>
      <c r="R16" s="3" t="str">
        <f t="shared" si="9"/>
        <v>Noah, Thompson, Bangalore</v>
      </c>
      <c r="S16" s="3" t="str">
        <f t="shared" si="14"/>
        <v>MON/2200</v>
      </c>
      <c r="T16" s="3" t="str">
        <f t="shared" si="10"/>
        <v>ID-114</v>
      </c>
      <c r="U16" s="3">
        <f t="shared" si="11"/>
        <v>5</v>
      </c>
      <c r="V16" s="3">
        <f t="shared" si="12"/>
        <v>6</v>
      </c>
      <c r="W16" s="3" t="b">
        <f t="shared" si="13"/>
        <v>0</v>
      </c>
    </row>
    <row r="17" spans="1:23" ht="43.2" x14ac:dyDescent="0.3">
      <c r="A17" s="2">
        <v>115</v>
      </c>
      <c r="B17" s="2" t="s">
        <v>139</v>
      </c>
      <c r="C17" s="2" t="s">
        <v>140</v>
      </c>
      <c r="D17" s="2" t="s">
        <v>141</v>
      </c>
      <c r="E17" s="8" t="s">
        <v>142</v>
      </c>
      <c r="F17" s="2" t="s">
        <v>143</v>
      </c>
      <c r="G17" s="2" t="s">
        <v>13</v>
      </c>
      <c r="H17" s="2">
        <v>9001231234</v>
      </c>
      <c r="I17" s="3" t="str">
        <f t="shared" si="0"/>
        <v>MOB</v>
      </c>
      <c r="J17" s="3" t="str">
        <f t="shared" si="1"/>
        <v>4400</v>
      </c>
      <c r="K17" s="3" t="str">
        <f t="shared" si="2"/>
        <v>4400</v>
      </c>
      <c r="L17" s="3">
        <f t="shared" si="3"/>
        <v>13</v>
      </c>
      <c r="M17" s="3" t="str">
        <f t="shared" si="4"/>
        <v>OLIVIA Garcia</v>
      </c>
      <c r="N17" s="3" t="str">
        <f t="shared" si="5"/>
        <v>OLIVIA</v>
      </c>
      <c r="O17" s="3" t="str">
        <f t="shared" si="6"/>
        <v>garcia</v>
      </c>
      <c r="P17" s="3" t="str">
        <f t="shared" si="7"/>
        <v>Mumbai</v>
      </c>
      <c r="Q17" s="3" t="str">
        <f t="shared" si="8"/>
        <v>EMP-115</v>
      </c>
      <c r="R17" s="3" t="str">
        <f t="shared" si="9"/>
        <v>OLIVIA, Garcia, Mumbai</v>
      </c>
      <c r="S17" s="3" t="str">
        <f t="shared" si="14"/>
        <v>LAP/6500</v>
      </c>
      <c r="T17" s="3" t="str">
        <f t="shared" si="10"/>
        <v>ID-115</v>
      </c>
      <c r="U17" s="3">
        <f t="shared" si="11"/>
        <v>7</v>
      </c>
      <c r="V17" s="3" t="e">
        <f t="shared" si="12"/>
        <v>#VALUE!</v>
      </c>
      <c r="W17" s="3" t="b">
        <f t="shared" si="13"/>
        <v>0</v>
      </c>
    </row>
    <row r="18" spans="1:23" ht="28.8" x14ac:dyDescent="0.3">
      <c r="A18" s="2">
        <v>116</v>
      </c>
      <c r="B18" s="2" t="s">
        <v>38</v>
      </c>
      <c r="C18" s="2" t="s">
        <v>144</v>
      </c>
      <c r="D18" s="2" t="s">
        <v>145</v>
      </c>
      <c r="E18" s="8" t="s">
        <v>146</v>
      </c>
      <c r="F18" s="2" t="s">
        <v>147</v>
      </c>
      <c r="G18" s="2" t="s">
        <v>114</v>
      </c>
      <c r="H18" s="2">
        <v>9112342345</v>
      </c>
      <c r="I18" s="3" t="str">
        <f t="shared" si="0"/>
        <v>TAB</v>
      </c>
      <c r="J18" s="3" t="str">
        <f t="shared" si="1"/>
        <v>7700</v>
      </c>
      <c r="K18" s="3" t="str">
        <f t="shared" si="2"/>
        <v>7700</v>
      </c>
      <c r="L18" s="3">
        <f t="shared" si="3"/>
        <v>14</v>
      </c>
      <c r="M18" s="3" t="str">
        <f t="shared" si="4"/>
        <v>Peter Martinez</v>
      </c>
      <c r="N18" s="3" t="str">
        <f t="shared" si="5"/>
        <v>PETER</v>
      </c>
      <c r="O18" s="3" t="str">
        <f t="shared" si="6"/>
        <v>martinez</v>
      </c>
      <c r="P18" s="3" t="str">
        <f t="shared" si="7"/>
        <v>Delhi</v>
      </c>
      <c r="Q18" s="3" t="str">
        <f t="shared" si="8"/>
        <v>EMP-116</v>
      </c>
      <c r="R18" s="3" t="str">
        <f t="shared" si="9"/>
        <v>Peter, Martinez, Delhi</v>
      </c>
      <c r="S18" s="3" t="str">
        <f t="shared" si="14"/>
        <v>MOB/4400</v>
      </c>
      <c r="T18" s="3" t="str">
        <f t="shared" si="10"/>
        <v>ID-116</v>
      </c>
      <c r="U18" s="3">
        <f t="shared" si="11"/>
        <v>6</v>
      </c>
      <c r="V18" s="3">
        <f t="shared" si="12"/>
        <v>7</v>
      </c>
      <c r="W18" s="3" t="b">
        <f t="shared" si="13"/>
        <v>0</v>
      </c>
    </row>
    <row r="19" spans="1:23" ht="43.2" x14ac:dyDescent="0.3">
      <c r="A19" s="2">
        <v>117</v>
      </c>
      <c r="B19" s="2" t="s">
        <v>148</v>
      </c>
      <c r="C19" s="2" t="s">
        <v>149</v>
      </c>
      <c r="D19" s="2" t="s">
        <v>150</v>
      </c>
      <c r="E19" s="8" t="s">
        <v>151</v>
      </c>
      <c r="F19" s="2" t="s">
        <v>152</v>
      </c>
      <c r="G19" s="2" t="s">
        <v>4</v>
      </c>
      <c r="H19" s="2">
        <v>9223453456</v>
      </c>
      <c r="I19" s="3" t="str">
        <f t="shared" si="0"/>
        <v>PRI</v>
      </c>
      <c r="J19" s="3" t="str">
        <f t="shared" si="1"/>
        <v>9900</v>
      </c>
      <c r="K19" s="3" t="str">
        <f t="shared" si="2"/>
        <v>9900</v>
      </c>
      <c r="L19" s="3">
        <f t="shared" si="3"/>
        <v>20</v>
      </c>
      <c r="M19" s="3" t="str">
        <f t="shared" si="4"/>
        <v>queen Robinson</v>
      </c>
      <c r="N19" s="3" t="str">
        <f t="shared" si="5"/>
        <v>QUEEN</v>
      </c>
      <c r="O19" s="3" t="str">
        <f t="shared" si="6"/>
        <v>robinson</v>
      </c>
      <c r="P19" s="3" t="str">
        <f t="shared" si="7"/>
        <v>Hyderabad</v>
      </c>
      <c r="Q19" s="3" t="str">
        <f t="shared" si="8"/>
        <v>EMP-117</v>
      </c>
      <c r="R19" s="3" t="str">
        <f t="shared" si="9"/>
        <v>queen, Robinson, Hyderabad</v>
      </c>
      <c r="S19" s="3" t="str">
        <f t="shared" si="14"/>
        <v>TAB/7700</v>
      </c>
      <c r="T19" s="3" t="str">
        <f t="shared" si="10"/>
        <v>ID-117</v>
      </c>
      <c r="U19" s="3">
        <f t="shared" si="11"/>
        <v>6</v>
      </c>
      <c r="V19" s="3" t="e">
        <f t="shared" si="12"/>
        <v>#VALUE!</v>
      </c>
      <c r="W19" s="3" t="b">
        <f t="shared" si="13"/>
        <v>1</v>
      </c>
    </row>
    <row r="20" spans="1:23" ht="28.8" x14ac:dyDescent="0.3">
      <c r="A20" s="2">
        <v>118</v>
      </c>
      <c r="B20" s="2" t="s">
        <v>42</v>
      </c>
      <c r="C20" s="2" t="s">
        <v>153</v>
      </c>
      <c r="D20" s="2" t="s">
        <v>154</v>
      </c>
      <c r="E20" s="8" t="s">
        <v>155</v>
      </c>
      <c r="F20" s="2" t="s">
        <v>156</v>
      </c>
      <c r="G20" s="2" t="s">
        <v>16</v>
      </c>
      <c r="H20" s="2">
        <v>9334564567</v>
      </c>
      <c r="I20" s="3" t="str">
        <f t="shared" si="0"/>
        <v>CAM</v>
      </c>
      <c r="J20" s="3" t="str">
        <f t="shared" si="1"/>
        <v>3400</v>
      </c>
      <c r="K20" s="3" t="str">
        <f t="shared" si="2"/>
        <v>3400</v>
      </c>
      <c r="L20" s="3">
        <f t="shared" si="3"/>
        <v>22</v>
      </c>
      <c r="M20" s="3" t="str">
        <f t="shared" si="4"/>
        <v>Ryan Clark</v>
      </c>
      <c r="N20" s="3" t="str">
        <f t="shared" si="5"/>
        <v>RYAN</v>
      </c>
      <c r="O20" s="3" t="str">
        <f t="shared" si="6"/>
        <v>clark</v>
      </c>
      <c r="P20" s="3" t="str">
        <f t="shared" si="7"/>
        <v>Pune</v>
      </c>
      <c r="Q20" s="3" t="str">
        <f t="shared" si="8"/>
        <v>EMP-118</v>
      </c>
      <c r="R20" s="3" t="str">
        <f t="shared" si="9"/>
        <v>Ryan, Clark, Pune</v>
      </c>
      <c r="S20" s="3" t="str">
        <f t="shared" si="14"/>
        <v>PRI/9900</v>
      </c>
      <c r="T20" s="3" t="str">
        <f t="shared" si="10"/>
        <v>ID-118</v>
      </c>
      <c r="U20" s="3">
        <f t="shared" si="11"/>
        <v>5</v>
      </c>
      <c r="V20" s="3">
        <f t="shared" si="12"/>
        <v>6</v>
      </c>
      <c r="W20" s="3" t="b">
        <f t="shared" si="13"/>
        <v>0</v>
      </c>
    </row>
    <row r="21" spans="1:23" ht="43.2" x14ac:dyDescent="0.3">
      <c r="A21" s="2">
        <v>119</v>
      </c>
      <c r="B21" s="2" t="s">
        <v>157</v>
      </c>
      <c r="C21" s="2" t="s">
        <v>158</v>
      </c>
      <c r="D21" s="2" t="s">
        <v>159</v>
      </c>
      <c r="E21" s="8" t="s">
        <v>160</v>
      </c>
      <c r="F21" s="2" t="s">
        <v>161</v>
      </c>
      <c r="G21" s="2" t="s">
        <v>7</v>
      </c>
      <c r="H21" s="2">
        <v>9445675678</v>
      </c>
      <c r="I21" s="3" t="str">
        <f t="shared" si="0"/>
        <v>LAP</v>
      </c>
      <c r="J21" s="3" t="str">
        <f t="shared" si="1"/>
        <v>5500</v>
      </c>
      <c r="K21" s="3" t="str">
        <f t="shared" si="2"/>
        <v>5500</v>
      </c>
      <c r="L21" s="3">
        <f t="shared" si="3"/>
        <v>16</v>
      </c>
      <c r="M21" s="3" t="str">
        <f t="shared" si="4"/>
        <v>sophia Rodriguez</v>
      </c>
      <c r="N21" s="3" t="str">
        <f t="shared" si="5"/>
        <v>SOPHIA</v>
      </c>
      <c r="O21" s="3" t="str">
        <f t="shared" si="6"/>
        <v>rodriguez</v>
      </c>
      <c r="P21" s="3" t="str">
        <f t="shared" si="7"/>
        <v>Chennai</v>
      </c>
      <c r="Q21" s="3" t="str">
        <f t="shared" si="8"/>
        <v>EMP-119</v>
      </c>
      <c r="R21" s="3" t="str">
        <f t="shared" si="9"/>
        <v>sophia, Rodriguez, Chennai</v>
      </c>
      <c r="S21" s="3" t="str">
        <f t="shared" si="14"/>
        <v>CAM/3400</v>
      </c>
      <c r="T21" s="3" t="str">
        <f t="shared" si="10"/>
        <v>ID-119</v>
      </c>
      <c r="U21" s="3">
        <f t="shared" si="11"/>
        <v>7</v>
      </c>
      <c r="V21" s="3" t="e">
        <f t="shared" si="12"/>
        <v>#VALUE!</v>
      </c>
      <c r="W21" s="3" t="b">
        <f t="shared" si="13"/>
        <v>0</v>
      </c>
    </row>
    <row r="22" spans="1:23" ht="43.2" x14ac:dyDescent="0.3">
      <c r="A22" s="2">
        <v>120</v>
      </c>
      <c r="B22" s="2" t="s">
        <v>46</v>
      </c>
      <c r="C22" s="2" t="s">
        <v>162</v>
      </c>
      <c r="D22" s="2" t="s">
        <v>163</v>
      </c>
      <c r="E22" s="8" t="s">
        <v>164</v>
      </c>
      <c r="F22" s="2" t="s">
        <v>165</v>
      </c>
      <c r="G22" s="2" t="s">
        <v>10</v>
      </c>
      <c r="H22" s="2">
        <v>9556786789</v>
      </c>
      <c r="I22" s="3" t="str">
        <f t="shared" si="0"/>
        <v>MOB</v>
      </c>
      <c r="J22" s="3" t="str">
        <f t="shared" si="1"/>
        <v>6600</v>
      </c>
      <c r="K22" s="3" t="str">
        <f t="shared" si="2"/>
        <v>6600</v>
      </c>
      <c r="L22" s="3">
        <f t="shared" si="3"/>
        <v>12</v>
      </c>
      <c r="M22" s="3" t="str">
        <f t="shared" si="4"/>
        <v>Thomas Lewis</v>
      </c>
      <c r="N22" s="3" t="str">
        <f t="shared" si="5"/>
        <v>THOMAS</v>
      </c>
      <c r="O22" s="3" t="str">
        <f t="shared" si="6"/>
        <v>lewis</v>
      </c>
      <c r="P22" s="3" t="str">
        <f t="shared" si="7"/>
        <v>Bangalore</v>
      </c>
      <c r="Q22" s="3" t="str">
        <f t="shared" si="8"/>
        <v>EMP-120</v>
      </c>
      <c r="R22" s="3" t="str">
        <f t="shared" si="9"/>
        <v>Thomas, Lewis, Bangalore</v>
      </c>
      <c r="S22" s="3" t="str">
        <f t="shared" si="14"/>
        <v>LAP/5500</v>
      </c>
      <c r="T22" s="3" t="str">
        <f t="shared" si="10"/>
        <v>ID-120</v>
      </c>
      <c r="U22" s="3">
        <f t="shared" si="11"/>
        <v>7</v>
      </c>
      <c r="V22" s="3">
        <f t="shared" si="12"/>
        <v>8</v>
      </c>
      <c r="W22" s="3" t="b">
        <f t="shared" si="13"/>
        <v>0</v>
      </c>
    </row>
  </sheetData>
  <mergeCells count="1">
    <mergeCell ref="B1:M1"/>
  </mergeCells>
  <hyperlinks>
    <hyperlink ref="E3" r:id="rId1" display="mailto:alice.johnson@gmail.com" xr:uid="{ECC670D9-120B-4E82-BECD-A722B562439B}"/>
    <hyperlink ref="E4" r:id="rId2" display="mailto:bob.smith@yahoo.com" xr:uid="{A7B1AF86-6B41-4F01-9302-CD8555F7635D}"/>
    <hyperlink ref="E5" r:id="rId3" display="mailto:charlie@outlook.com" xr:uid="{97A22ADD-06C1-4816-A4F8-F5493CBFD267}"/>
    <hyperlink ref="E6" r:id="rId4" display="mailto:david.miller@gmail.com" xr:uid="{0B360594-B5C0-4BE5-A27C-2EBA1835566F}"/>
    <hyperlink ref="E7" r:id="rId5" display="mailto:emma@yahoo.com" xr:uid="{FA39C6C5-DBE0-4D5A-8D22-D4835DF958AE}"/>
    <hyperlink ref="E8" r:id="rId6" display="mailto:frank@gmail.com" xr:uid="{B40CE13D-4886-45D3-9945-07FD42AE618D}"/>
    <hyperlink ref="E9" r:id="rId7" display="mailto:grace@company.com" xr:uid="{97BD0569-6317-4F13-9387-2A70E46E8759}"/>
    <hyperlink ref="E10" r:id="rId8" display="mailto:henry@yahoo.com" xr:uid="{37D1735D-B951-4958-8140-456DA1313443}"/>
    <hyperlink ref="E11" r:id="rId9" display="mailto:ivy@outlook.com" xr:uid="{1E10F561-1EFA-4227-B11F-4A84802A2F74}"/>
    <hyperlink ref="E12" r:id="rId10" display="mailto:jack@gmail.com" xr:uid="{12716DFF-9E2D-40D6-8256-CB0CA94273EE}"/>
    <hyperlink ref="E13" r:id="rId11" display="mailto:karen@gmail.com" xr:uid="{15AC6496-7CDC-4386-AF29-078E83A4C80F}"/>
    <hyperlink ref="E14" r:id="rId12" display="mailto:liam@yahoo.com" xr:uid="{07ED1B05-0D5A-4376-837A-7D1F19FAA390}"/>
    <hyperlink ref="E15" r:id="rId13" display="mailto:mia@company.com" xr:uid="{30938457-97E9-4C00-A823-992DA8E1DC43}"/>
    <hyperlink ref="E16" r:id="rId14" display="mailto:noah@gmail.com" xr:uid="{62D383AC-7E27-4C2F-857B-BE6A055258CB}"/>
    <hyperlink ref="E17" r:id="rId15" display="mailto:olivia@yahoo.com" xr:uid="{F8A63395-9208-472C-B610-1EF3DD8ED53F}"/>
    <hyperlink ref="E18" r:id="rId16" display="mailto:peter@gmail.com" xr:uid="{6CC8FF4C-BB8C-4EDF-B45A-254CC0B98B67}"/>
    <hyperlink ref="E19" r:id="rId17" display="mailto:queen@outlook.com" xr:uid="{F28C010B-DF63-49B0-BFE4-31D97A8608E4}"/>
    <hyperlink ref="E20" r:id="rId18" display="mailto:ryan@gmail.com" xr:uid="{881AC36D-31A2-4387-9D62-36F7E3F66CAB}"/>
    <hyperlink ref="E21" r:id="rId19" display="mailto:sophia@yahoo.com" xr:uid="{49001011-4557-4536-9FB3-1FBC3C5B5333}"/>
    <hyperlink ref="E22" r:id="rId20" display="mailto:thomas@gmail.com" xr:uid="{26D6227C-965E-4D71-A1A7-DD58A246F0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9A06-B25C-4339-AC77-2B3229BD9D54}">
  <dimension ref="A1:K22"/>
  <sheetViews>
    <sheetView tabSelected="1" workbookViewId="0">
      <pane ySplit="2" topLeftCell="A3" activePane="bottomLeft" state="frozen"/>
      <selection pane="bottomLeft" activeCell="O3" sqref="O3"/>
    </sheetView>
  </sheetViews>
  <sheetFormatPr defaultRowHeight="14.4" x14ac:dyDescent="0.3"/>
  <cols>
    <col min="3" max="4" width="10.33203125" bestFit="1" customWidth="1"/>
    <col min="5" max="5" width="11.109375" bestFit="1" customWidth="1"/>
    <col min="6" max="6" width="10.33203125" bestFit="1" customWidth="1"/>
    <col min="7" max="7" width="11.109375" customWidth="1"/>
    <col min="8" max="8" width="17.44140625" customWidth="1"/>
    <col min="9" max="9" width="13.21875" customWidth="1"/>
    <col min="11" max="11" width="13.44140625" customWidth="1"/>
  </cols>
  <sheetData>
    <row r="1" spans="1:11" ht="18" thickBot="1" x14ac:dyDescent="0.4">
      <c r="B1" s="9" t="s">
        <v>166</v>
      </c>
      <c r="C1" s="9"/>
      <c r="D1" s="9"/>
      <c r="E1" s="9"/>
      <c r="F1" s="9"/>
      <c r="G1" s="9"/>
      <c r="H1" s="9"/>
      <c r="I1" s="9"/>
      <c r="J1" s="9"/>
      <c r="K1" s="9"/>
    </row>
    <row r="2" spans="1:11" ht="38.4" customHeight="1" thickTop="1" x14ac:dyDescent="0.3">
      <c r="A2" s="10" t="s">
        <v>167</v>
      </c>
      <c r="B2" s="10" t="s">
        <v>0</v>
      </c>
      <c r="C2" s="11" t="s">
        <v>168</v>
      </c>
      <c r="D2" s="11" t="s">
        <v>169</v>
      </c>
      <c r="E2" s="12" t="s">
        <v>170</v>
      </c>
      <c r="F2" s="11" t="s">
        <v>171</v>
      </c>
      <c r="G2" s="16" t="s">
        <v>172</v>
      </c>
      <c r="H2" s="16" t="s">
        <v>173</v>
      </c>
      <c r="I2" s="16" t="s">
        <v>174</v>
      </c>
      <c r="J2" s="16" t="s">
        <v>175</v>
      </c>
      <c r="K2" s="17" t="s">
        <v>176</v>
      </c>
    </row>
    <row r="3" spans="1:11" x14ac:dyDescent="0.3">
      <c r="A3" s="13" t="s">
        <v>2</v>
      </c>
      <c r="B3" s="13" t="s">
        <v>3</v>
      </c>
      <c r="C3" s="14">
        <v>44576</v>
      </c>
      <c r="D3" s="14">
        <v>35925</v>
      </c>
      <c r="E3" s="14">
        <v>45839</v>
      </c>
      <c r="F3" s="14">
        <v>45884</v>
      </c>
      <c r="G3">
        <f>YEAR(D3)</f>
        <v>1998</v>
      </c>
      <c r="H3">
        <f>MONTH(E3)</f>
        <v>7</v>
      </c>
      <c r="I3" s="15">
        <f>EDATE(C3,12)</f>
        <v>44941</v>
      </c>
      <c r="J3">
        <f ca="1">DATEDIF(D3,TODAY(),"Y")</f>
        <v>28</v>
      </c>
      <c r="K3">
        <f ca="1">NETWORKDAYS(E3,TODAY())</f>
        <v>261</v>
      </c>
    </row>
    <row r="4" spans="1:11" x14ac:dyDescent="0.3">
      <c r="A4" s="13" t="s">
        <v>5</v>
      </c>
      <c r="B4" s="13" t="s">
        <v>6</v>
      </c>
      <c r="C4" s="14">
        <v>44275</v>
      </c>
      <c r="D4" s="14">
        <v>35025</v>
      </c>
      <c r="E4" s="14">
        <v>45848</v>
      </c>
      <c r="F4" s="14">
        <v>45899</v>
      </c>
      <c r="G4">
        <f t="shared" ref="G4:G22" si="0">YEAR(D4)</f>
        <v>1995</v>
      </c>
      <c r="H4">
        <f t="shared" ref="H4:H22" si="1">MONTH(E4)</f>
        <v>7</v>
      </c>
      <c r="I4" s="15">
        <f t="shared" ref="I4:I22" si="2">EDATE(C4,12)</f>
        <v>44640</v>
      </c>
      <c r="J4">
        <f t="shared" ref="J4:J22" ca="1" si="3">DATEDIF(D4,TODAY(),"Y")</f>
        <v>30</v>
      </c>
      <c r="K4">
        <f t="shared" ref="K4:K22" ca="1" si="4">NETWORKDAYS(E4,TODAY())</f>
        <v>254</v>
      </c>
    </row>
    <row r="5" spans="1:11" x14ac:dyDescent="0.3">
      <c r="A5" s="13" t="s">
        <v>8</v>
      </c>
      <c r="B5" s="13" t="s">
        <v>9</v>
      </c>
      <c r="C5" s="14">
        <v>43987</v>
      </c>
      <c r="D5" s="14">
        <v>35479</v>
      </c>
      <c r="E5" s="14">
        <v>45884</v>
      </c>
      <c r="F5" s="14">
        <v>45925</v>
      </c>
      <c r="G5">
        <f t="shared" si="0"/>
        <v>1997</v>
      </c>
      <c r="H5">
        <f t="shared" si="1"/>
        <v>8</v>
      </c>
      <c r="I5" s="15">
        <f t="shared" si="2"/>
        <v>44352</v>
      </c>
      <c r="J5">
        <f t="shared" ca="1" si="3"/>
        <v>29</v>
      </c>
      <c r="K5">
        <f t="shared" ca="1" si="4"/>
        <v>228</v>
      </c>
    </row>
    <row r="6" spans="1:11" x14ac:dyDescent="0.3">
      <c r="A6" s="13" t="s">
        <v>11</v>
      </c>
      <c r="B6" s="13" t="s">
        <v>12</v>
      </c>
      <c r="C6" s="14">
        <v>43811</v>
      </c>
      <c r="D6" s="14">
        <v>34180</v>
      </c>
      <c r="E6" s="14">
        <v>45901</v>
      </c>
      <c r="F6" s="14">
        <v>45950</v>
      </c>
      <c r="G6">
        <f t="shared" si="0"/>
        <v>1993</v>
      </c>
      <c r="H6">
        <f t="shared" si="1"/>
        <v>9</v>
      </c>
      <c r="I6" s="15">
        <f t="shared" si="2"/>
        <v>44177</v>
      </c>
      <c r="J6">
        <f t="shared" ca="1" si="3"/>
        <v>32</v>
      </c>
      <c r="K6">
        <f t="shared" ca="1" si="4"/>
        <v>217</v>
      </c>
    </row>
    <row r="7" spans="1:11" x14ac:dyDescent="0.3">
      <c r="A7" s="13" t="s">
        <v>14</v>
      </c>
      <c r="B7" s="13" t="s">
        <v>15</v>
      </c>
      <c r="C7" s="14">
        <v>45034</v>
      </c>
      <c r="D7" s="14">
        <v>36533</v>
      </c>
      <c r="E7" s="14">
        <v>45940</v>
      </c>
      <c r="F7" s="14">
        <v>45976</v>
      </c>
      <c r="G7">
        <f t="shared" si="0"/>
        <v>2000</v>
      </c>
      <c r="H7">
        <f t="shared" si="1"/>
        <v>10</v>
      </c>
      <c r="I7" s="15">
        <f t="shared" si="2"/>
        <v>45400</v>
      </c>
      <c r="J7">
        <f t="shared" ca="1" si="3"/>
        <v>26</v>
      </c>
      <c r="K7">
        <f t="shared" ca="1" si="4"/>
        <v>188</v>
      </c>
    </row>
    <row r="8" spans="1:11" x14ac:dyDescent="0.3">
      <c r="A8" s="13" t="s">
        <v>17</v>
      </c>
      <c r="B8" s="13" t="s">
        <v>18</v>
      </c>
      <c r="C8" s="14">
        <v>44798</v>
      </c>
      <c r="D8" s="14">
        <v>35230</v>
      </c>
      <c r="E8" s="14">
        <v>45981</v>
      </c>
      <c r="F8" s="14">
        <v>46022</v>
      </c>
      <c r="G8">
        <f t="shared" si="0"/>
        <v>1996</v>
      </c>
      <c r="H8">
        <f t="shared" si="1"/>
        <v>11</v>
      </c>
      <c r="I8" s="15">
        <f t="shared" si="2"/>
        <v>45163</v>
      </c>
      <c r="J8">
        <f t="shared" ca="1" si="3"/>
        <v>30</v>
      </c>
      <c r="K8">
        <f t="shared" ca="1" si="4"/>
        <v>159</v>
      </c>
    </row>
    <row r="9" spans="1:11" x14ac:dyDescent="0.3">
      <c r="A9" s="13" t="s">
        <v>19</v>
      </c>
      <c r="B9" s="13" t="s">
        <v>20</v>
      </c>
      <c r="C9" s="14">
        <v>44236</v>
      </c>
      <c r="D9" s="14">
        <v>34420</v>
      </c>
      <c r="E9" s="14">
        <v>45996</v>
      </c>
      <c r="F9" s="14">
        <v>46032</v>
      </c>
      <c r="G9">
        <f t="shared" si="0"/>
        <v>1994</v>
      </c>
      <c r="H9">
        <f t="shared" si="1"/>
        <v>12</v>
      </c>
      <c r="I9" s="15">
        <f t="shared" si="2"/>
        <v>44601</v>
      </c>
      <c r="J9">
        <f t="shared" ca="1" si="3"/>
        <v>32</v>
      </c>
      <c r="K9">
        <f t="shared" ca="1" si="4"/>
        <v>148</v>
      </c>
    </row>
    <row r="10" spans="1:11" x14ac:dyDescent="0.3">
      <c r="A10" s="13" t="s">
        <v>21</v>
      </c>
      <c r="B10" s="13" t="s">
        <v>22</v>
      </c>
      <c r="C10" s="14">
        <v>44042</v>
      </c>
      <c r="D10" s="14">
        <v>36087</v>
      </c>
      <c r="E10" s="14">
        <v>46037</v>
      </c>
      <c r="F10" s="14">
        <v>46081</v>
      </c>
      <c r="G10">
        <f t="shared" si="0"/>
        <v>1998</v>
      </c>
      <c r="H10">
        <f t="shared" si="1"/>
        <v>1</v>
      </c>
      <c r="I10" s="15">
        <f t="shared" si="2"/>
        <v>44407</v>
      </c>
      <c r="J10">
        <f t="shared" ca="1" si="3"/>
        <v>27</v>
      </c>
      <c r="K10">
        <f t="shared" ca="1" si="4"/>
        <v>119</v>
      </c>
    </row>
    <row r="11" spans="1:11" x14ac:dyDescent="0.3">
      <c r="A11" s="13" t="s">
        <v>23</v>
      </c>
      <c r="B11" s="13" t="s">
        <v>24</v>
      </c>
      <c r="C11" s="14">
        <v>43599</v>
      </c>
      <c r="D11" s="14">
        <v>33699</v>
      </c>
      <c r="E11" s="14">
        <v>46054</v>
      </c>
      <c r="F11" s="14">
        <v>46112</v>
      </c>
      <c r="G11">
        <f t="shared" si="0"/>
        <v>1992</v>
      </c>
      <c r="H11">
        <f t="shared" si="1"/>
        <v>2</v>
      </c>
      <c r="I11" s="15">
        <f t="shared" si="2"/>
        <v>43965</v>
      </c>
      <c r="J11">
        <f t="shared" ca="1" si="3"/>
        <v>34</v>
      </c>
      <c r="K11">
        <f t="shared" ca="1" si="4"/>
        <v>107</v>
      </c>
    </row>
    <row r="12" spans="1:11" x14ac:dyDescent="0.3">
      <c r="A12" s="13" t="s">
        <v>25</v>
      </c>
      <c r="B12" s="13" t="s">
        <v>26</v>
      </c>
      <c r="C12" s="14">
        <v>45241</v>
      </c>
      <c r="D12" s="14">
        <v>37237</v>
      </c>
      <c r="E12" s="14">
        <v>46091</v>
      </c>
      <c r="F12" s="14">
        <v>46137</v>
      </c>
      <c r="G12">
        <f t="shared" si="0"/>
        <v>2001</v>
      </c>
      <c r="H12">
        <f t="shared" si="1"/>
        <v>3</v>
      </c>
      <c r="I12" s="15">
        <f t="shared" si="2"/>
        <v>45607</v>
      </c>
      <c r="J12">
        <f t="shared" ca="1" si="3"/>
        <v>24</v>
      </c>
      <c r="K12">
        <f t="shared" ca="1" si="4"/>
        <v>81</v>
      </c>
    </row>
    <row r="13" spans="1:11" x14ac:dyDescent="0.3">
      <c r="A13" s="13" t="s">
        <v>27</v>
      </c>
      <c r="B13" s="13" t="s">
        <v>28</v>
      </c>
      <c r="C13" s="14">
        <v>44578</v>
      </c>
      <c r="D13" s="14">
        <v>35575</v>
      </c>
      <c r="E13" s="14">
        <v>46117</v>
      </c>
      <c r="F13" s="14">
        <v>46162</v>
      </c>
      <c r="G13">
        <f t="shared" si="0"/>
        <v>1997</v>
      </c>
      <c r="H13">
        <f t="shared" si="1"/>
        <v>4</v>
      </c>
      <c r="I13" s="15">
        <f t="shared" si="2"/>
        <v>44943</v>
      </c>
      <c r="J13">
        <f t="shared" ca="1" si="3"/>
        <v>29</v>
      </c>
      <c r="K13">
        <f t="shared" ca="1" si="4"/>
        <v>62</v>
      </c>
    </row>
    <row r="14" spans="1:11" x14ac:dyDescent="0.3">
      <c r="A14" s="13" t="s">
        <v>29</v>
      </c>
      <c r="B14" s="13" t="s">
        <v>30</v>
      </c>
      <c r="C14" s="14">
        <v>43913</v>
      </c>
      <c r="D14" s="14">
        <v>33466</v>
      </c>
      <c r="E14" s="14">
        <v>46157</v>
      </c>
      <c r="F14" s="14">
        <v>46203</v>
      </c>
      <c r="G14">
        <f t="shared" si="0"/>
        <v>1991</v>
      </c>
      <c r="H14">
        <f t="shared" si="1"/>
        <v>5</v>
      </c>
      <c r="I14" s="15">
        <f t="shared" si="2"/>
        <v>44278</v>
      </c>
      <c r="J14">
        <f t="shared" ca="1" si="3"/>
        <v>34</v>
      </c>
      <c r="K14">
        <f t="shared" ca="1" si="4"/>
        <v>33</v>
      </c>
    </row>
    <row r="15" spans="1:11" x14ac:dyDescent="0.3">
      <c r="A15" s="13" t="s">
        <v>31</v>
      </c>
      <c r="B15" s="13" t="s">
        <v>32</v>
      </c>
      <c r="C15" s="14">
        <v>44477</v>
      </c>
      <c r="D15" s="14">
        <v>36200</v>
      </c>
      <c r="E15" s="14">
        <v>46174</v>
      </c>
      <c r="F15" s="14">
        <v>46218</v>
      </c>
      <c r="G15">
        <f t="shared" si="0"/>
        <v>1999</v>
      </c>
      <c r="H15">
        <f t="shared" si="1"/>
        <v>6</v>
      </c>
      <c r="I15" s="15">
        <f t="shared" si="2"/>
        <v>44842</v>
      </c>
      <c r="J15">
        <f t="shared" ca="1" si="3"/>
        <v>27</v>
      </c>
      <c r="K15">
        <f t="shared" ca="1" si="4"/>
        <v>22</v>
      </c>
    </row>
    <row r="16" spans="1:11" x14ac:dyDescent="0.3">
      <c r="A16" s="13" t="s">
        <v>33</v>
      </c>
      <c r="B16" s="13" t="s">
        <v>34</v>
      </c>
      <c r="C16" s="14">
        <v>43280</v>
      </c>
      <c r="D16" s="14">
        <v>33144</v>
      </c>
      <c r="E16" s="14">
        <v>46213</v>
      </c>
      <c r="F16" s="14">
        <v>46259</v>
      </c>
      <c r="G16">
        <f t="shared" si="0"/>
        <v>1990</v>
      </c>
      <c r="H16">
        <f t="shared" si="1"/>
        <v>7</v>
      </c>
      <c r="I16" s="15">
        <f t="shared" si="2"/>
        <v>43645</v>
      </c>
      <c r="J16">
        <f t="shared" ca="1" si="3"/>
        <v>35</v>
      </c>
      <c r="K16">
        <f t="shared" ca="1" si="4"/>
        <v>-9</v>
      </c>
    </row>
    <row r="17" spans="1:11" x14ac:dyDescent="0.3">
      <c r="A17" s="13" t="s">
        <v>35</v>
      </c>
      <c r="B17" s="13" t="s">
        <v>36</v>
      </c>
      <c r="C17" s="14">
        <v>45417</v>
      </c>
      <c r="D17" s="14">
        <v>37269</v>
      </c>
      <c r="E17" s="14">
        <v>46254</v>
      </c>
      <c r="F17" s="14">
        <v>46300</v>
      </c>
      <c r="G17">
        <f t="shared" si="0"/>
        <v>2002</v>
      </c>
      <c r="H17">
        <f t="shared" si="1"/>
        <v>8</v>
      </c>
      <c r="I17" s="15">
        <f t="shared" si="2"/>
        <v>45782</v>
      </c>
      <c r="J17">
        <f t="shared" ca="1" si="3"/>
        <v>24</v>
      </c>
      <c r="K17">
        <f t="shared" ca="1" si="4"/>
        <v>-38</v>
      </c>
    </row>
    <row r="18" spans="1:11" x14ac:dyDescent="0.3">
      <c r="A18" s="13" t="s">
        <v>37</v>
      </c>
      <c r="B18" s="13" t="s">
        <v>38</v>
      </c>
      <c r="C18" s="14">
        <v>43735</v>
      </c>
      <c r="D18" s="14">
        <v>35024</v>
      </c>
      <c r="E18" s="14">
        <v>46296</v>
      </c>
      <c r="F18" s="14">
        <v>46341</v>
      </c>
      <c r="G18">
        <f t="shared" si="0"/>
        <v>1995</v>
      </c>
      <c r="H18">
        <f t="shared" si="1"/>
        <v>10</v>
      </c>
      <c r="I18" s="15">
        <f t="shared" si="2"/>
        <v>44101</v>
      </c>
      <c r="J18">
        <f t="shared" ca="1" si="3"/>
        <v>30</v>
      </c>
      <c r="K18">
        <f t="shared" ca="1" si="4"/>
        <v>-68</v>
      </c>
    </row>
    <row r="19" spans="1:11" x14ac:dyDescent="0.3">
      <c r="A19" s="13" t="s">
        <v>39</v>
      </c>
      <c r="B19" s="13" t="s">
        <v>40</v>
      </c>
      <c r="C19" s="14">
        <v>44970</v>
      </c>
      <c r="D19" s="14">
        <v>35982</v>
      </c>
      <c r="E19" s="14">
        <v>46336</v>
      </c>
      <c r="F19" s="14">
        <v>46376</v>
      </c>
      <c r="G19">
        <f t="shared" si="0"/>
        <v>1998</v>
      </c>
      <c r="H19">
        <f t="shared" si="1"/>
        <v>11</v>
      </c>
      <c r="I19" s="15">
        <f t="shared" si="2"/>
        <v>45335</v>
      </c>
      <c r="J19">
        <f t="shared" ca="1" si="3"/>
        <v>27</v>
      </c>
      <c r="K19">
        <f t="shared" ca="1" si="4"/>
        <v>-96</v>
      </c>
    </row>
    <row r="20" spans="1:11" x14ac:dyDescent="0.3">
      <c r="A20" s="13" t="s">
        <v>41</v>
      </c>
      <c r="B20" s="13" t="s">
        <v>42</v>
      </c>
      <c r="C20" s="14">
        <v>44398</v>
      </c>
      <c r="D20" s="14">
        <v>35157</v>
      </c>
      <c r="E20" s="14">
        <v>46361</v>
      </c>
      <c r="F20" s="14">
        <v>46418</v>
      </c>
      <c r="G20">
        <f t="shared" si="0"/>
        <v>1996</v>
      </c>
      <c r="H20">
        <f t="shared" si="1"/>
        <v>12</v>
      </c>
      <c r="I20" s="15">
        <f t="shared" si="2"/>
        <v>44763</v>
      </c>
      <c r="J20">
        <f t="shared" ca="1" si="3"/>
        <v>30</v>
      </c>
      <c r="K20">
        <f t="shared" ca="1" si="4"/>
        <v>-114</v>
      </c>
    </row>
    <row r="21" spans="1:11" x14ac:dyDescent="0.3">
      <c r="A21" s="13" t="s">
        <v>43</v>
      </c>
      <c r="B21" s="13" t="s">
        <v>44</v>
      </c>
      <c r="C21" s="14">
        <v>44169</v>
      </c>
      <c r="D21" s="14">
        <v>34624</v>
      </c>
      <c r="E21" s="14">
        <v>46402</v>
      </c>
      <c r="F21" s="14">
        <v>46446</v>
      </c>
      <c r="G21">
        <f t="shared" si="0"/>
        <v>1994</v>
      </c>
      <c r="H21">
        <f t="shared" si="1"/>
        <v>1</v>
      </c>
      <c r="I21" s="15">
        <f t="shared" si="2"/>
        <v>44534</v>
      </c>
      <c r="J21">
        <f t="shared" ca="1" si="3"/>
        <v>31</v>
      </c>
      <c r="K21">
        <f t="shared" ca="1" si="4"/>
        <v>-144</v>
      </c>
    </row>
    <row r="22" spans="1:11" x14ac:dyDescent="0.3">
      <c r="A22" s="13" t="s">
        <v>45</v>
      </c>
      <c r="B22" s="13" t="s">
        <v>46</v>
      </c>
      <c r="C22" s="14">
        <v>44670</v>
      </c>
      <c r="D22" s="14">
        <v>36322</v>
      </c>
      <c r="E22" s="14">
        <v>46447</v>
      </c>
      <c r="F22" s="14">
        <v>46492</v>
      </c>
      <c r="G22">
        <f t="shared" si="0"/>
        <v>1999</v>
      </c>
      <c r="H22">
        <f t="shared" si="1"/>
        <v>3</v>
      </c>
      <c r="I22" s="15">
        <f t="shared" si="2"/>
        <v>45035</v>
      </c>
      <c r="J22">
        <f t="shared" ca="1" si="3"/>
        <v>27</v>
      </c>
      <c r="K22">
        <f t="shared" ca="1" si="4"/>
        <v>-175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Date and Time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Madhuri</dc:creator>
  <cp:lastModifiedBy>Divya Madhuri</cp:lastModifiedBy>
  <dcterms:created xsi:type="dcterms:W3CDTF">2026-06-30T04:47:25Z</dcterms:created>
  <dcterms:modified xsi:type="dcterms:W3CDTF">2026-06-30T04:52:04Z</dcterms:modified>
</cp:coreProperties>
</file>