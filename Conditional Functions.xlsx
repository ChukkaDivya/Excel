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a Chukka git\Excel\"/>
    </mc:Choice>
  </mc:AlternateContent>
  <xr:revisionPtr revIDLastSave="0" documentId="13_ncr:1_{EA600303-8BED-4EC2-B565-6C6B86512935}" xr6:coauthVersionLast="47" xr6:coauthVersionMax="47" xr10:uidLastSave="{00000000-0000-0000-0000-000000000000}"/>
  <bookViews>
    <workbookView xWindow="-108" yWindow="-108" windowWidth="23256" windowHeight="12456" xr2:uid="{178D7AC3-467E-4AFD-980D-C9D0BB48D116}"/>
  </bookViews>
  <sheets>
    <sheet name="Condition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7" i="1"/>
  <c r="H16" i="1"/>
  <c r="B21" i="1"/>
  <c r="B20" i="1"/>
  <c r="E21" i="1"/>
  <c r="E20" i="1"/>
  <c r="E17" i="1"/>
  <c r="E16" i="1"/>
  <c r="B17" i="1"/>
  <c r="B16" i="1"/>
</calcChain>
</file>

<file path=xl/sharedStrings.xml><?xml version="1.0" encoding="utf-8"?>
<sst xmlns="http://schemas.openxmlformats.org/spreadsheetml/2006/main" count="66" uniqueCount="47">
  <si>
    <t>Emp_ID</t>
  </si>
  <si>
    <t>Name</t>
  </si>
  <si>
    <t>Gender</t>
  </si>
  <si>
    <t>Department</t>
  </si>
  <si>
    <t>Salary</t>
  </si>
  <si>
    <t>Experience</t>
  </si>
  <si>
    <t>City</t>
  </si>
  <si>
    <t>Divya</t>
  </si>
  <si>
    <t>Female</t>
  </si>
  <si>
    <t>IT</t>
  </si>
  <si>
    <t>Hyderabad</t>
  </si>
  <si>
    <t>Ravi</t>
  </si>
  <si>
    <t>Male</t>
  </si>
  <si>
    <t>HR</t>
  </si>
  <si>
    <t>Chennai</t>
  </si>
  <si>
    <t>Priya</t>
  </si>
  <si>
    <t>Finance</t>
  </si>
  <si>
    <t>Bangalore</t>
  </si>
  <si>
    <t>Kiran</t>
  </si>
  <si>
    <t>Sneha</t>
  </si>
  <si>
    <t>Marketing</t>
  </si>
  <si>
    <t>Mumbai</t>
  </si>
  <si>
    <t>Arjun</t>
  </si>
  <si>
    <t>Pune</t>
  </si>
  <si>
    <t>Neha</t>
  </si>
  <si>
    <t>Rohit</t>
  </si>
  <si>
    <t>Pooja</t>
  </si>
  <si>
    <t>Akash</t>
  </si>
  <si>
    <t>EMPLOYEE DATE</t>
  </si>
  <si>
    <t>COUNTIF</t>
  </si>
  <si>
    <t>Number of Female Employees</t>
  </si>
  <si>
    <t>Number of salaries grater than 55000</t>
  </si>
  <si>
    <t>COUNTSIF</t>
  </si>
  <si>
    <t>Female employees in Hyderabad</t>
  </si>
  <si>
    <t>Male employees with Experinece&gt;4</t>
  </si>
  <si>
    <t>SUMIFS</t>
  </si>
  <si>
    <t>Total salary of Female IT employees</t>
  </si>
  <si>
    <t>Total salary of Male employees in Hyderabad</t>
  </si>
  <si>
    <t>SUMIF</t>
  </si>
  <si>
    <t>Total salary of Finance department</t>
  </si>
  <si>
    <t>Total salary of Marketing department</t>
  </si>
  <si>
    <t>AVERAGEIF</t>
  </si>
  <si>
    <t>Average salary of HR employees</t>
  </si>
  <si>
    <t>Average salary of IT employees</t>
  </si>
  <si>
    <t>AVERAGEIFS</t>
  </si>
  <si>
    <t>Average salary of Female employees in Hyderabad</t>
  </si>
  <si>
    <t>Average salary of Male Finance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</si>
</sst>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vertical="center" wrapText="1"/>
    </xf>
    <xf numFmtId="0" fontId="1" fillId="2" borderId="2" xfId="2" applyBorder="1" applyAlignment="1">
      <alignment horizontal="center" vertical="center" wrapText="1"/>
    </xf>
    <xf numFmtId="0" fontId="2" fillId="0" borderId="1" xfId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</cellXfs>
  <cellStyles count="3">
    <cellStyle name="40% - Accent1" xfId="2" builtinId="31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5827-F33B-4F2C-A964-0D649A27DD94}">
  <dimension ref="A1:H21"/>
  <sheetViews>
    <sheetView tabSelected="1" topLeftCell="A11" zoomScale="97" workbookViewId="0">
      <selection activeCell="L20" sqref="L20"/>
    </sheetView>
  </sheetViews>
  <sheetFormatPr defaultRowHeight="14.4" x14ac:dyDescent="0.3"/>
  <cols>
    <col min="1" max="1" width="11.21875" customWidth="1"/>
    <col min="4" max="4" width="11.88671875" customWidth="1"/>
    <col min="6" max="6" width="10.21875" customWidth="1"/>
    <col min="7" max="7" width="12.21875" customWidth="1"/>
  </cols>
  <sheetData>
    <row r="1" spans="1:8" ht="18" thickBot="1" x14ac:dyDescent="0.4">
      <c r="A1" s="3" t="s">
        <v>28</v>
      </c>
      <c r="B1" s="3"/>
      <c r="C1" s="3"/>
      <c r="D1" s="3"/>
      <c r="E1" s="3"/>
      <c r="F1" s="3"/>
      <c r="G1" s="3"/>
    </row>
    <row r="2" spans="1:8" ht="15" thickTop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28.8" x14ac:dyDescent="0.3">
      <c r="A3" s="1">
        <v>101</v>
      </c>
      <c r="B3" s="1" t="s">
        <v>7</v>
      </c>
      <c r="C3" s="1" t="s">
        <v>8</v>
      </c>
      <c r="D3" s="1" t="s">
        <v>9</v>
      </c>
      <c r="E3" s="1">
        <v>50000</v>
      </c>
      <c r="F3" s="1">
        <v>3</v>
      </c>
      <c r="G3" s="1" t="s">
        <v>10</v>
      </c>
    </row>
    <row r="4" spans="1:8" x14ac:dyDescent="0.3">
      <c r="A4" s="1">
        <v>102</v>
      </c>
      <c r="B4" s="1" t="s">
        <v>11</v>
      </c>
      <c r="C4" s="1" t="s">
        <v>12</v>
      </c>
      <c r="D4" s="1" t="s">
        <v>13</v>
      </c>
      <c r="E4" s="1">
        <v>45000</v>
      </c>
      <c r="F4" s="1">
        <v>4</v>
      </c>
      <c r="G4" s="1" t="s">
        <v>14</v>
      </c>
    </row>
    <row r="5" spans="1:8" ht="28.8" x14ac:dyDescent="0.3">
      <c r="A5" s="1">
        <v>103</v>
      </c>
      <c r="B5" s="1" t="s">
        <v>15</v>
      </c>
      <c r="C5" s="1" t="s">
        <v>8</v>
      </c>
      <c r="D5" s="1" t="s">
        <v>16</v>
      </c>
      <c r="E5" s="1">
        <v>60000</v>
      </c>
      <c r="F5" s="1">
        <v>5</v>
      </c>
      <c r="G5" s="1" t="s">
        <v>17</v>
      </c>
    </row>
    <row r="6" spans="1:8" ht="28.8" x14ac:dyDescent="0.3">
      <c r="A6" s="1">
        <v>104</v>
      </c>
      <c r="B6" s="1" t="s">
        <v>18</v>
      </c>
      <c r="C6" s="1" t="s">
        <v>12</v>
      </c>
      <c r="D6" s="1" t="s">
        <v>9</v>
      </c>
      <c r="E6" s="1">
        <v>55000</v>
      </c>
      <c r="F6" s="1">
        <v>2</v>
      </c>
      <c r="G6" s="1" t="s">
        <v>10</v>
      </c>
    </row>
    <row r="7" spans="1:8" ht="28.8" x14ac:dyDescent="0.3">
      <c r="A7" s="1">
        <v>105</v>
      </c>
      <c r="B7" s="1" t="s">
        <v>19</v>
      </c>
      <c r="C7" s="1" t="s">
        <v>8</v>
      </c>
      <c r="D7" s="1" t="s">
        <v>20</v>
      </c>
      <c r="E7" s="1">
        <v>48000</v>
      </c>
      <c r="F7" s="1">
        <v>4</v>
      </c>
      <c r="G7" s="1" t="s">
        <v>21</v>
      </c>
    </row>
    <row r="8" spans="1:8" x14ac:dyDescent="0.3">
      <c r="A8" s="1">
        <v>106</v>
      </c>
      <c r="B8" s="1" t="s">
        <v>22</v>
      </c>
      <c r="C8" s="1" t="s">
        <v>12</v>
      </c>
      <c r="D8" s="1" t="s">
        <v>16</v>
      </c>
      <c r="E8" s="1">
        <v>62000</v>
      </c>
      <c r="F8" s="1">
        <v>6</v>
      </c>
      <c r="G8" s="1" t="s">
        <v>23</v>
      </c>
    </row>
    <row r="9" spans="1:8" ht="28.8" x14ac:dyDescent="0.3">
      <c r="A9" s="1">
        <v>107</v>
      </c>
      <c r="B9" s="1" t="s">
        <v>24</v>
      </c>
      <c r="C9" s="1" t="s">
        <v>8</v>
      </c>
      <c r="D9" s="1" t="s">
        <v>9</v>
      </c>
      <c r="E9" s="1">
        <v>58000</v>
      </c>
      <c r="F9" s="1">
        <v>5</v>
      </c>
      <c r="G9" s="1" t="s">
        <v>10</v>
      </c>
    </row>
    <row r="10" spans="1:8" x14ac:dyDescent="0.3">
      <c r="A10" s="1">
        <v>108</v>
      </c>
      <c r="B10" s="1" t="s">
        <v>25</v>
      </c>
      <c r="C10" s="1" t="s">
        <v>12</v>
      </c>
      <c r="D10" s="1" t="s">
        <v>13</v>
      </c>
      <c r="E10" s="1">
        <v>47000</v>
      </c>
      <c r="F10" s="1">
        <v>3</v>
      </c>
      <c r="G10" s="1" t="s">
        <v>14</v>
      </c>
    </row>
    <row r="11" spans="1:8" ht="28.8" x14ac:dyDescent="0.3">
      <c r="A11" s="1">
        <v>109</v>
      </c>
      <c r="B11" s="1" t="s">
        <v>26</v>
      </c>
      <c r="C11" s="1" t="s">
        <v>8</v>
      </c>
      <c r="D11" s="1" t="s">
        <v>20</v>
      </c>
      <c r="E11" s="1">
        <v>51000</v>
      </c>
      <c r="F11" s="1">
        <v>4</v>
      </c>
      <c r="G11" s="1" t="s">
        <v>17</v>
      </c>
    </row>
    <row r="12" spans="1:8" ht="28.8" x14ac:dyDescent="0.3">
      <c r="A12" s="1">
        <v>110</v>
      </c>
      <c r="B12" s="1" t="s">
        <v>27</v>
      </c>
      <c r="C12" s="1" t="s">
        <v>12</v>
      </c>
      <c r="D12" s="1" t="s">
        <v>9</v>
      </c>
      <c r="E12" s="1">
        <v>65000</v>
      </c>
      <c r="F12" s="1">
        <v>6</v>
      </c>
      <c r="G12" s="1" t="s">
        <v>10</v>
      </c>
    </row>
    <row r="15" spans="1:8" x14ac:dyDescent="0.3">
      <c r="A15" s="4" t="s">
        <v>29</v>
      </c>
      <c r="B15" s="4"/>
      <c r="D15" s="9" t="s">
        <v>32</v>
      </c>
      <c r="E15" s="10"/>
      <c r="G15" s="15" t="s">
        <v>41</v>
      </c>
      <c r="H15" s="15"/>
    </row>
    <row r="16" spans="1:8" ht="57.6" x14ac:dyDescent="0.3">
      <c r="A16" s="1" t="s">
        <v>30</v>
      </c>
      <c r="B16" s="12">
        <f>COUNTIF(C3:C12,"Female")</f>
        <v>5</v>
      </c>
      <c r="D16" s="1" t="s">
        <v>33</v>
      </c>
      <c r="E16" s="6">
        <f>COUNTIFS(C3:C12,"Female",G3:G12,"Hyderabad")</f>
        <v>2</v>
      </c>
      <c r="G16" s="5" t="s">
        <v>42</v>
      </c>
      <c r="H16" s="6">
        <f>AVERAGEIF(D3:D12,"HR",E3:E12)</f>
        <v>46000</v>
      </c>
    </row>
    <row r="17" spans="1:8" ht="72" customHeight="1" x14ac:dyDescent="0.3">
      <c r="A17" s="5" t="s">
        <v>31</v>
      </c>
      <c r="B17" s="6">
        <f>COUNTIF(E3:E12,"&gt;55000")</f>
        <v>4</v>
      </c>
      <c r="D17" s="7" t="s">
        <v>34</v>
      </c>
      <c r="E17" s="6">
        <f>COUNTIFS(C3:C12,"Male",F3:F12,"&gt;4")</f>
        <v>2</v>
      </c>
      <c r="G17" s="5" t="s">
        <v>43</v>
      </c>
      <c r="H17" s="6">
        <f>AVERAGEIF(D3:D12,"IT",E3:E12)</f>
        <v>57000</v>
      </c>
    </row>
    <row r="19" spans="1:8" x14ac:dyDescent="0.3">
      <c r="A19" s="11" t="s">
        <v>38</v>
      </c>
      <c r="B19" s="11"/>
      <c r="D19" s="8" t="s">
        <v>35</v>
      </c>
      <c r="E19" s="8"/>
      <c r="G19" s="13" t="s">
        <v>44</v>
      </c>
      <c r="H19" s="14"/>
    </row>
    <row r="20" spans="1:8" ht="72" x14ac:dyDescent="0.3">
      <c r="A20" s="5" t="s">
        <v>39</v>
      </c>
      <c r="B20" s="6">
        <f>SUMIF(D3:D12,"Finance",E3:E12)</f>
        <v>122000</v>
      </c>
      <c r="D20" s="1" t="s">
        <v>36</v>
      </c>
      <c r="E20" s="6">
        <f>SUMIFS(E3:E12,C3:C12,"Female",D3:D12,"IT")</f>
        <v>108000</v>
      </c>
      <c r="G20" s="5" t="s">
        <v>45</v>
      </c>
      <c r="H20" s="6">
        <f>AVERAGEIFS(E3:E12,C3:C12,"Female",G3:G12,"Hyderabad")</f>
        <v>54000</v>
      </c>
    </row>
    <row r="21" spans="1:8" ht="72" x14ac:dyDescent="0.3">
      <c r="A21" s="5" t="s">
        <v>40</v>
      </c>
      <c r="B21" s="6">
        <f>SUMIF(D3:D12,"Marketing",E3:E12)</f>
        <v>99000</v>
      </c>
      <c r="D21" s="1" t="s">
        <v>37</v>
      </c>
      <c r="E21" s="6">
        <f>SUMIFS(E3:E12,C3:C12,"Male",G3:G12,"Hyderabad")</f>
        <v>120000</v>
      </c>
      <c r="G21" s="5" t="s">
        <v>46</v>
      </c>
      <c r="H21" s="6">
        <f>AVERAGEIFS(E3:E12,C3:C12,"Male",D3:D12,"Finance")</f>
        <v>62000</v>
      </c>
    </row>
  </sheetData>
  <mergeCells count="7">
    <mergeCell ref="A1:G1"/>
    <mergeCell ref="A15:B15"/>
    <mergeCell ref="D19:E19"/>
    <mergeCell ref="D15:E15"/>
    <mergeCell ref="A19:B19"/>
    <mergeCell ref="G15:H15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Madhuri</dc:creator>
  <cp:lastModifiedBy>Divya Madhuri</cp:lastModifiedBy>
  <dcterms:created xsi:type="dcterms:W3CDTF">2026-06-30T08:24:05Z</dcterms:created>
  <dcterms:modified xsi:type="dcterms:W3CDTF">2026-06-30T08:45:25Z</dcterms:modified>
</cp:coreProperties>
</file>