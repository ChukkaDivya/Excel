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vya Chukka git\Excel\"/>
    </mc:Choice>
  </mc:AlternateContent>
  <xr:revisionPtr revIDLastSave="0" documentId="8_{57A88520-CBEF-46AC-ABA1-EE792A54FC31}" xr6:coauthVersionLast="47" xr6:coauthVersionMax="47" xr10:uidLastSave="{00000000-0000-0000-0000-000000000000}"/>
  <bookViews>
    <workbookView xWindow="-96" yWindow="0" windowWidth="11712" windowHeight="12336" xr2:uid="{6A4F39B6-3514-4995-8BF5-BE986B5AAEA4}"/>
  </bookViews>
  <sheets>
    <sheet name="VLOOKUP" sheetId="1" r:id="rId1"/>
    <sheet name="HLOOKUP" sheetId="2" r:id="rId2"/>
    <sheet name="XLOOKUP" sheetId="3" r:id="rId3"/>
    <sheet name="INDEX+MATC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4" l="1"/>
  <c r="J5" i="4"/>
  <c r="J6" i="4"/>
  <c r="J3" i="4"/>
  <c r="I4" i="4"/>
  <c r="I5" i="4"/>
  <c r="I6" i="4"/>
  <c r="I3" i="4"/>
  <c r="H4" i="4"/>
  <c r="H5" i="4"/>
  <c r="H6" i="4"/>
  <c r="H3" i="4"/>
  <c r="K4" i="3"/>
  <c r="K5" i="3"/>
  <c r="K6" i="3"/>
  <c r="K7" i="3"/>
  <c r="K3" i="3"/>
  <c r="J4" i="3"/>
  <c r="J5" i="3"/>
  <c r="J6" i="3"/>
  <c r="J7" i="3"/>
  <c r="J3" i="3"/>
  <c r="I4" i="3" a="1"/>
  <c r="I4" i="3" s="1"/>
  <c r="I5" i="3" a="1"/>
  <c r="I5" i="3" s="1"/>
  <c r="I6" i="3" a="1"/>
  <c r="I6" i="3" s="1"/>
  <c r="I7" i="3" a="1"/>
  <c r="I7" i="3" s="1"/>
  <c r="I3" i="3" a="1"/>
  <c r="I3" i="3" s="1"/>
  <c r="H4" i="3"/>
  <c r="H5" i="3"/>
  <c r="H6" i="3"/>
  <c r="H7" i="3"/>
  <c r="H3" i="3"/>
  <c r="M4" i="2"/>
  <c r="M5" i="2"/>
  <c r="M3" i="2"/>
  <c r="L4" i="2"/>
  <c r="L5" i="2"/>
  <c r="L3" i="2"/>
  <c r="K4" i="2"/>
  <c r="K5" i="2"/>
  <c r="K3" i="2"/>
  <c r="J3" i="2"/>
  <c r="J4" i="2"/>
  <c r="J5" i="2"/>
  <c r="H4" i="1"/>
  <c r="H5" i="1"/>
  <c r="H6" i="1"/>
  <c r="H7" i="1"/>
  <c r="H3" i="1"/>
  <c r="G3" i="1"/>
  <c r="G4" i="1"/>
  <c r="G5" i="1"/>
  <c r="G6" i="1"/>
  <c r="G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<sst xmlns="http://schemas.openxmlformats.org/spreadsheetml/2006/main" count="171" uniqueCount="71">
  <si>
    <t>Employee ID</t>
  </si>
  <si>
    <t>Name</t>
  </si>
  <si>
    <t>Department</t>
  </si>
  <si>
    <t>Salary</t>
  </si>
  <si>
    <t>E101</t>
  </si>
  <si>
    <t>Rahul</t>
  </si>
  <si>
    <t>HR</t>
  </si>
  <si>
    <t>E102</t>
  </si>
  <si>
    <t>Priya</t>
  </si>
  <si>
    <t>IT</t>
  </si>
  <si>
    <t>E103</t>
  </si>
  <si>
    <t>Arjun</t>
  </si>
  <si>
    <t>Sales</t>
  </si>
  <si>
    <t>E104</t>
  </si>
  <si>
    <t>Sneha</t>
  </si>
  <si>
    <t>Finance</t>
  </si>
  <si>
    <t>E105</t>
  </si>
  <si>
    <t>Kiran</t>
  </si>
  <si>
    <t>Marketing</t>
  </si>
  <si>
    <t>E106</t>
  </si>
  <si>
    <t>Neha</t>
  </si>
  <si>
    <t>E107</t>
  </si>
  <si>
    <t>Vikram</t>
  </si>
  <si>
    <t>E108</t>
  </si>
  <si>
    <t>Pooja</t>
  </si>
  <si>
    <t>E109</t>
  </si>
  <si>
    <t>Rohan</t>
  </si>
  <si>
    <t>E110</t>
  </si>
  <si>
    <t>Anjali</t>
  </si>
  <si>
    <t>Main Table</t>
  </si>
  <si>
    <t>Lookup Table</t>
  </si>
  <si>
    <t>Product ID</t>
  </si>
  <si>
    <t>Product Name</t>
  </si>
  <si>
    <t>Category</t>
  </si>
  <si>
    <t>Price</t>
  </si>
  <si>
    <t>P101</t>
  </si>
  <si>
    <t>Laptop</t>
  </si>
  <si>
    <t>Electronics</t>
  </si>
  <si>
    <t>P102</t>
  </si>
  <si>
    <t>Mouse</t>
  </si>
  <si>
    <t>P103</t>
  </si>
  <si>
    <t>Chair</t>
  </si>
  <si>
    <t>Furniture</t>
  </si>
  <si>
    <t>P104</t>
  </si>
  <si>
    <t>Desk</t>
  </si>
  <si>
    <t>P105</t>
  </si>
  <si>
    <t>Notebook</t>
  </si>
  <si>
    <t>Stationery</t>
  </si>
  <si>
    <t>P106</t>
  </si>
  <si>
    <t>Pen</t>
  </si>
  <si>
    <t>P107</t>
  </si>
  <si>
    <t>Keyboard</t>
  </si>
  <si>
    <t>P108</t>
  </si>
  <si>
    <t>Bottle</t>
  </si>
  <si>
    <t>Kitchen</t>
  </si>
  <si>
    <t>P109</t>
  </si>
  <si>
    <t>Mixer</t>
  </si>
  <si>
    <t>P110</t>
  </si>
  <si>
    <t>Monitor</t>
  </si>
  <si>
    <t>A</t>
  </si>
  <si>
    <t>B</t>
  </si>
  <si>
    <t>C</t>
  </si>
  <si>
    <t>D</t>
  </si>
  <si>
    <t>E</t>
  </si>
  <si>
    <t>F</t>
  </si>
  <si>
    <t>Stock</t>
  </si>
  <si>
    <t>MAIN TABLE</t>
  </si>
  <si>
    <t>LOOKUP TABLE</t>
  </si>
  <si>
    <t>Experience</t>
  </si>
  <si>
    <t>E112</t>
  </si>
  <si>
    <t>LOOK UP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</si>
</sst>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20">
    <xf numFmtId="0" fontId="0" fillId="0" borderId="0" xfId="0"/>
    <xf numFmtId="0" fontId="3" fillId="0" borderId="3" xfId="2" applyBorder="1" applyAlignment="1">
      <alignment horizontal="center"/>
    </xf>
    <xf numFmtId="0" fontId="1" fillId="7" borderId="3" xfId="8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3" fillId="0" borderId="0" xfId="2" applyBorder="1" applyAlignment="1">
      <alignment horizontal="center"/>
    </xf>
    <xf numFmtId="0" fontId="0" fillId="0" borderId="3" xfId="0" applyBorder="1"/>
    <xf numFmtId="0" fontId="3" fillId="0" borderId="4" xfId="2" applyBorder="1" applyAlignment="1">
      <alignment horizontal="center"/>
    </xf>
    <xf numFmtId="0" fontId="3" fillId="0" borderId="5" xfId="2" applyBorder="1" applyAlignment="1">
      <alignment horizontal="center"/>
    </xf>
    <xf numFmtId="0" fontId="3" fillId="0" borderId="6" xfId="2" applyBorder="1" applyAlignment="1">
      <alignment horizontal="center"/>
    </xf>
    <xf numFmtId="0" fontId="1" fillId="5" borderId="3" xfId="6" applyFont="1" applyBorder="1" applyAlignment="1">
      <alignment horizontal="center" vertical="center" wrapText="1"/>
    </xf>
    <xf numFmtId="0" fontId="1" fillId="5" borderId="3" xfId="6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0" fillId="0" borderId="3" xfId="0" applyFont="1" applyBorder="1" applyAlignment="1">
      <alignment horizontal="center" vertical="center" wrapText="1"/>
    </xf>
    <xf numFmtId="0" fontId="2" fillId="0" borderId="1" xfId="1" applyAlignment="1">
      <alignment horizontal="center"/>
    </xf>
    <xf numFmtId="0" fontId="1" fillId="6" borderId="3" xfId="7" applyBorder="1" applyAlignment="1">
      <alignment horizontal="center" vertical="center" wrapText="1"/>
    </xf>
    <xf numFmtId="0" fontId="1" fillId="4" borderId="3" xfId="5" applyBorder="1" applyAlignment="1">
      <alignment horizontal="center" vertical="center" wrapText="1"/>
    </xf>
    <xf numFmtId="0" fontId="1" fillId="3" borderId="3" xfId="4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" fillId="2" borderId="3" xfId="3" applyBorder="1" applyAlignment="1">
      <alignment horizontal="center" vertical="center" wrapText="1"/>
    </xf>
  </cellXfs>
  <cellStyles count="9">
    <cellStyle name="20% - Accent5" xfId="6" builtinId="46"/>
    <cellStyle name="40% - Accent1" xfId="3" builtinId="31"/>
    <cellStyle name="40% - Accent3" xfId="4" builtinId="39"/>
    <cellStyle name="40% - Accent5" xfId="7" builtinId="47"/>
    <cellStyle name="60% - Accent3" xfId="5" builtinId="40"/>
    <cellStyle name="60% - Accent5" xfId="8" builtinId="48"/>
    <cellStyle name="Heading 1" xfId="1" builtinId="16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6934-197D-4AFF-A1CE-8AB9DA6AE67F}">
  <dimension ref="A1:H12"/>
  <sheetViews>
    <sheetView tabSelected="1" zoomScale="160" zoomScaleNormal="160" workbookViewId="0">
      <selection activeCell="F13" sqref="F13"/>
    </sheetView>
  </sheetViews>
  <sheetFormatPr defaultRowHeight="14.4" x14ac:dyDescent="0.3"/>
  <cols>
    <col min="1" max="1" width="12.44140625" customWidth="1"/>
    <col min="2" max="2" width="13" customWidth="1"/>
    <col min="3" max="3" width="12.109375" customWidth="1"/>
    <col min="6" max="6" width="11.44140625" customWidth="1"/>
    <col min="7" max="7" width="11.88671875" bestFit="1" customWidth="1"/>
  </cols>
  <sheetData>
    <row r="1" spans="1:8" ht="17.399999999999999" x14ac:dyDescent="0.35">
      <c r="A1" s="1" t="s">
        <v>29</v>
      </c>
      <c r="B1" s="1"/>
      <c r="C1" s="1"/>
      <c r="D1" s="1"/>
      <c r="F1" s="7" t="s">
        <v>30</v>
      </c>
      <c r="G1" s="8"/>
      <c r="H1" s="9"/>
    </row>
    <row r="2" spans="1:8" ht="28.8" x14ac:dyDescent="0.3">
      <c r="A2" s="2" t="s">
        <v>31</v>
      </c>
      <c r="B2" s="2" t="s">
        <v>32</v>
      </c>
      <c r="C2" s="2" t="s">
        <v>33</v>
      </c>
      <c r="D2" s="2" t="s">
        <v>34</v>
      </c>
      <c r="F2" s="2" t="s">
        <v>31</v>
      </c>
      <c r="G2" s="2" t="s">
        <v>32</v>
      </c>
      <c r="H2" s="2" t="s">
        <v>34</v>
      </c>
    </row>
    <row r="3" spans="1:8" x14ac:dyDescent="0.3">
      <c r="A3" s="3" t="s">
        <v>35</v>
      </c>
      <c r="B3" s="3" t="s">
        <v>36</v>
      </c>
      <c r="C3" s="3" t="s">
        <v>37</v>
      </c>
      <c r="D3" s="3">
        <v>55000</v>
      </c>
      <c r="F3" s="3" t="s">
        <v>35</v>
      </c>
      <c r="G3" s="3" t="str">
        <f>VLOOKUP(F3,$A$3:$D$12,2,FALSE)</f>
        <v>Laptop</v>
      </c>
      <c r="H3" s="3">
        <f>VLOOKUP(F3,$A$3:$D$12,4,FALSE)</f>
        <v>55000</v>
      </c>
    </row>
    <row r="4" spans="1:8" x14ac:dyDescent="0.3">
      <c r="A4" s="3" t="s">
        <v>38</v>
      </c>
      <c r="B4" s="3" t="s">
        <v>39</v>
      </c>
      <c r="C4" s="3" t="s">
        <v>37</v>
      </c>
      <c r="D4" s="3">
        <v>700</v>
      </c>
      <c r="F4" s="3" t="s">
        <v>43</v>
      </c>
      <c r="G4" s="3" t="str">
        <f t="shared" ref="G4:G7" si="0">VLOOKUP(F4,$A$3:$D$12,2,FALSE)</f>
        <v>Desk</v>
      </c>
      <c r="H4" s="3">
        <f t="shared" ref="H4:H7" si="1">VLOOKUP(F4,$A$3:$D$12,4,FALSE)</f>
        <v>8000</v>
      </c>
    </row>
    <row r="5" spans="1:8" x14ac:dyDescent="0.3">
      <c r="A5" s="3" t="s">
        <v>40</v>
      </c>
      <c r="B5" s="3" t="s">
        <v>41</v>
      </c>
      <c r="C5" s="3" t="s">
        <v>42</v>
      </c>
      <c r="D5" s="3">
        <v>4500</v>
      </c>
      <c r="F5" s="3" t="s">
        <v>55</v>
      </c>
      <c r="G5" s="3" t="str">
        <f t="shared" si="0"/>
        <v>Mixer</v>
      </c>
      <c r="H5" s="3">
        <f t="shared" si="1"/>
        <v>3200</v>
      </c>
    </row>
    <row r="6" spans="1:8" x14ac:dyDescent="0.3">
      <c r="A6" s="3" t="s">
        <v>43</v>
      </c>
      <c r="B6" s="3" t="s">
        <v>44</v>
      </c>
      <c r="C6" s="3" t="s">
        <v>42</v>
      </c>
      <c r="D6" s="3">
        <v>8000</v>
      </c>
      <c r="F6" s="3" t="s">
        <v>38</v>
      </c>
      <c r="G6" s="3" t="str">
        <f t="shared" si="0"/>
        <v>Mouse</v>
      </c>
      <c r="H6" s="3">
        <f t="shared" si="1"/>
        <v>700</v>
      </c>
    </row>
    <row r="7" spans="1:8" x14ac:dyDescent="0.3">
      <c r="A7" s="3" t="s">
        <v>45</v>
      </c>
      <c r="B7" s="3" t="s">
        <v>46</v>
      </c>
      <c r="C7" s="3" t="s">
        <v>47</v>
      </c>
      <c r="D7" s="3">
        <v>120</v>
      </c>
      <c r="F7" s="3" t="s">
        <v>52</v>
      </c>
      <c r="G7" s="3" t="str">
        <f t="shared" si="0"/>
        <v>Bottle</v>
      </c>
      <c r="H7" s="3">
        <f t="shared" si="1"/>
        <v>350</v>
      </c>
    </row>
    <row r="8" spans="1:8" x14ac:dyDescent="0.3">
      <c r="A8" s="3" t="s">
        <v>48</v>
      </c>
      <c r="B8" s="3" t="s">
        <v>49</v>
      </c>
      <c r="C8" s="3" t="s">
        <v>47</v>
      </c>
      <c r="D8" s="3">
        <v>20</v>
      </c>
      <c r="F8" s="4"/>
      <c r="G8" s="4"/>
    </row>
    <row r="9" spans="1:8" x14ac:dyDescent="0.3">
      <c r="A9" s="3" t="s">
        <v>50</v>
      </c>
      <c r="B9" s="3" t="s">
        <v>51</v>
      </c>
      <c r="C9" s="3" t="s">
        <v>37</v>
      </c>
      <c r="D9" s="3">
        <v>1500</v>
      </c>
      <c r="F9" s="4"/>
      <c r="G9" s="4"/>
    </row>
    <row r="10" spans="1:8" x14ac:dyDescent="0.3">
      <c r="A10" s="3" t="s">
        <v>52</v>
      </c>
      <c r="B10" s="3" t="s">
        <v>53</v>
      </c>
      <c r="C10" s="3" t="s">
        <v>54</v>
      </c>
      <c r="D10" s="3">
        <v>350</v>
      </c>
    </row>
    <row r="11" spans="1:8" x14ac:dyDescent="0.3">
      <c r="A11" s="3" t="s">
        <v>55</v>
      </c>
      <c r="B11" s="3" t="s">
        <v>56</v>
      </c>
      <c r="C11" s="3" t="s">
        <v>54</v>
      </c>
      <c r="D11" s="3">
        <v>3200</v>
      </c>
    </row>
    <row r="12" spans="1:8" x14ac:dyDescent="0.3">
      <c r="A12" s="3" t="s">
        <v>57</v>
      </c>
      <c r="B12" s="3" t="s">
        <v>58</v>
      </c>
      <c r="C12" s="3" t="s">
        <v>37</v>
      </c>
      <c r="D12" s="3">
        <v>14000</v>
      </c>
    </row>
  </sheetData>
  <mergeCells count="2">
    <mergeCell ref="A1:D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8126-AA7C-490E-8870-23448C86CB3C}">
  <dimension ref="A1:M7"/>
  <sheetViews>
    <sheetView zoomScale="130" zoomScaleNormal="130" workbookViewId="0">
      <selection activeCell="F12" sqref="F12"/>
    </sheetView>
  </sheetViews>
  <sheetFormatPr defaultRowHeight="14.4" x14ac:dyDescent="0.3"/>
  <cols>
    <col min="2" max="2" width="12.77734375" customWidth="1"/>
    <col min="3" max="3" width="10.33203125" customWidth="1"/>
    <col min="4" max="4" width="10" customWidth="1"/>
    <col min="5" max="5" width="8.88671875" customWidth="1"/>
    <col min="6" max="6" width="10.88671875" customWidth="1"/>
    <col min="7" max="7" width="11.5546875" customWidth="1"/>
    <col min="10" max="10" width="9.21875" bestFit="1" customWidth="1"/>
    <col min="11" max="11" width="9.88671875" bestFit="1" customWidth="1"/>
  </cols>
  <sheetData>
    <row r="1" spans="1:13" ht="20.399999999999999" thickBot="1" x14ac:dyDescent="0.45">
      <c r="A1" s="14" t="s">
        <v>66</v>
      </c>
      <c r="B1" s="14"/>
      <c r="C1" s="14"/>
      <c r="D1" s="14"/>
      <c r="E1" s="14"/>
      <c r="F1" s="14"/>
      <c r="G1" s="14"/>
      <c r="I1" s="1" t="s">
        <v>67</v>
      </c>
      <c r="J1" s="1"/>
      <c r="K1" s="1"/>
      <c r="L1" s="1"/>
      <c r="M1" s="1"/>
    </row>
    <row r="2" spans="1:13" ht="29.4" thickTop="1" x14ac:dyDescent="0.3">
      <c r="A2" s="10"/>
      <c r="B2" s="10" t="s">
        <v>59</v>
      </c>
      <c r="C2" s="10" t="s">
        <v>60</v>
      </c>
      <c r="D2" s="10" t="s">
        <v>61</v>
      </c>
      <c r="E2" s="10" t="s">
        <v>62</v>
      </c>
      <c r="F2" s="10" t="s">
        <v>63</v>
      </c>
      <c r="G2" s="10" t="s">
        <v>64</v>
      </c>
      <c r="I2" s="15" t="s">
        <v>31</v>
      </c>
      <c r="J2" s="15" t="s">
        <v>32</v>
      </c>
      <c r="K2" s="15" t="s">
        <v>33</v>
      </c>
      <c r="L2" s="15" t="s">
        <v>34</v>
      </c>
      <c r="M2" s="15" t="s">
        <v>65</v>
      </c>
    </row>
    <row r="3" spans="1:13" ht="18.600000000000001" customHeight="1" x14ac:dyDescent="0.3">
      <c r="A3" s="11">
        <v>1</v>
      </c>
      <c r="B3" s="12" t="s">
        <v>31</v>
      </c>
      <c r="C3" s="13" t="s">
        <v>35</v>
      </c>
      <c r="D3" s="13" t="s">
        <v>38</v>
      </c>
      <c r="E3" s="13" t="s">
        <v>40</v>
      </c>
      <c r="F3" s="13" t="s">
        <v>43</v>
      </c>
      <c r="G3" s="13" t="s">
        <v>45</v>
      </c>
      <c r="I3" s="3" t="s">
        <v>35</v>
      </c>
      <c r="J3" s="3" t="str">
        <f>HLOOKUP(I3,$C$3:$G$7,2,FALSE)</f>
        <v>Laptop</v>
      </c>
      <c r="K3" s="3" t="str">
        <f>HLOOKUP(I3,$C$3:$G$7,3,FALSE)</f>
        <v>Electronics</v>
      </c>
      <c r="L3" s="3">
        <f>HLOOKUP(I3,$C$3:$G$7,4,FALSE)</f>
        <v>55000</v>
      </c>
      <c r="M3" s="3">
        <f>HLOOKUP(I3,$C$3:$G$7,5,FALSE)</f>
        <v>25</v>
      </c>
    </row>
    <row r="4" spans="1:13" ht="15.6" customHeight="1" x14ac:dyDescent="0.3">
      <c r="A4" s="11">
        <v>2</v>
      </c>
      <c r="B4" s="12" t="s">
        <v>32</v>
      </c>
      <c r="C4" s="13" t="s">
        <v>36</v>
      </c>
      <c r="D4" s="13" t="s">
        <v>39</v>
      </c>
      <c r="E4" s="13" t="s">
        <v>41</v>
      </c>
      <c r="F4" s="13" t="s">
        <v>44</v>
      </c>
      <c r="G4" s="13" t="s">
        <v>46</v>
      </c>
      <c r="I4" s="3" t="s">
        <v>40</v>
      </c>
      <c r="J4" s="3" t="str">
        <f t="shared" ref="J4:J5" si="0">HLOOKUP(I4,$C$3:$G$7,2,FALSE)</f>
        <v>Chair</v>
      </c>
      <c r="K4" s="3" t="str">
        <f t="shared" ref="K4:K5" si="1">HLOOKUP(I4,$C$3:$G$7,3,FALSE)</f>
        <v>Furniture</v>
      </c>
      <c r="L4" s="3">
        <f t="shared" ref="L4:L5" si="2">HLOOKUP(I4,$C$3:$G$7,4,FALSE)</f>
        <v>4500</v>
      </c>
      <c r="M4" s="3">
        <f t="shared" ref="M4:M5" si="3">HLOOKUP(I4,$C$3:$G$7,5,FALSE)</f>
        <v>30</v>
      </c>
    </row>
    <row r="5" spans="1:13" ht="15.6" customHeight="1" x14ac:dyDescent="0.3">
      <c r="A5" s="11">
        <v>3</v>
      </c>
      <c r="B5" s="12" t="s">
        <v>33</v>
      </c>
      <c r="C5" s="13" t="s">
        <v>37</v>
      </c>
      <c r="D5" s="13" t="s">
        <v>37</v>
      </c>
      <c r="E5" s="13" t="s">
        <v>42</v>
      </c>
      <c r="F5" s="13" t="s">
        <v>42</v>
      </c>
      <c r="G5" s="13" t="s">
        <v>47</v>
      </c>
      <c r="I5" s="3" t="s">
        <v>45</v>
      </c>
      <c r="J5" s="3" t="str">
        <f t="shared" si="0"/>
        <v>Notebook</v>
      </c>
      <c r="K5" s="3" t="str">
        <f t="shared" si="1"/>
        <v>Stationery</v>
      </c>
      <c r="L5" s="3">
        <f t="shared" si="2"/>
        <v>120</v>
      </c>
      <c r="M5" s="3">
        <f t="shared" si="3"/>
        <v>250</v>
      </c>
    </row>
    <row r="6" spans="1:13" x14ac:dyDescent="0.3">
      <c r="A6" s="11">
        <v>4</v>
      </c>
      <c r="B6" s="12" t="s">
        <v>34</v>
      </c>
      <c r="C6" s="12">
        <v>55000</v>
      </c>
      <c r="D6" s="12">
        <v>700</v>
      </c>
      <c r="E6" s="12">
        <v>4500</v>
      </c>
      <c r="F6" s="12">
        <v>8000</v>
      </c>
      <c r="G6" s="12">
        <v>120</v>
      </c>
    </row>
    <row r="7" spans="1:13" x14ac:dyDescent="0.3">
      <c r="A7" s="11">
        <v>5</v>
      </c>
      <c r="B7" s="12" t="s">
        <v>65</v>
      </c>
      <c r="C7" s="12">
        <v>25</v>
      </c>
      <c r="D7" s="12">
        <v>120</v>
      </c>
      <c r="E7" s="12">
        <v>30</v>
      </c>
      <c r="F7" s="12">
        <v>18</v>
      </c>
      <c r="G7" s="12">
        <v>250</v>
      </c>
    </row>
  </sheetData>
  <mergeCells count="2">
    <mergeCell ref="A1:G1"/>
    <mergeCell ref="I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C1DE-6D47-4A0C-A4AE-DC2E0307E39D}">
  <dimension ref="A1:K12"/>
  <sheetViews>
    <sheetView workbookViewId="0">
      <selection activeCell="G12" sqref="G12"/>
    </sheetView>
  </sheetViews>
  <sheetFormatPr defaultRowHeight="14.4" x14ac:dyDescent="0.3"/>
  <cols>
    <col min="1" max="1" width="11.33203125" customWidth="1"/>
    <col min="3" max="3" width="11.33203125" customWidth="1"/>
    <col min="5" max="5" width="11.109375" customWidth="1"/>
    <col min="7" max="7" width="13.21875" customWidth="1"/>
    <col min="8" max="8" width="11.5546875" customWidth="1"/>
    <col min="9" max="9" width="11.77734375" customWidth="1"/>
    <col min="11" max="11" width="10.6640625" customWidth="1"/>
  </cols>
  <sheetData>
    <row r="1" spans="1:11" ht="17.399999999999999" x14ac:dyDescent="0.35">
      <c r="A1" s="1" t="s">
        <v>66</v>
      </c>
      <c r="B1" s="1"/>
      <c r="C1" s="1"/>
      <c r="D1" s="1"/>
      <c r="E1" s="1"/>
      <c r="G1" s="5" t="s">
        <v>70</v>
      </c>
      <c r="H1" s="5"/>
      <c r="I1" s="5"/>
      <c r="J1" s="5"/>
      <c r="K1" s="5"/>
    </row>
    <row r="2" spans="1:11" ht="28.8" customHeight="1" x14ac:dyDescent="0.3">
      <c r="A2" s="16" t="s">
        <v>0</v>
      </c>
      <c r="B2" s="16" t="s">
        <v>1</v>
      </c>
      <c r="C2" s="16" t="s">
        <v>2</v>
      </c>
      <c r="D2" s="16" t="s">
        <v>3</v>
      </c>
      <c r="E2" s="16" t="s">
        <v>68</v>
      </c>
      <c r="G2" s="17" t="s">
        <v>0</v>
      </c>
      <c r="H2" s="17" t="s">
        <v>1</v>
      </c>
      <c r="I2" s="17" t="s">
        <v>2</v>
      </c>
      <c r="J2" s="17" t="s">
        <v>3</v>
      </c>
      <c r="K2" s="17" t="s">
        <v>68</v>
      </c>
    </row>
    <row r="3" spans="1:11" x14ac:dyDescent="0.3">
      <c r="A3" s="3" t="s">
        <v>4</v>
      </c>
      <c r="B3" s="3" t="s">
        <v>5</v>
      </c>
      <c r="C3" s="3" t="s">
        <v>6</v>
      </c>
      <c r="D3" s="3">
        <v>45000</v>
      </c>
      <c r="E3" s="3">
        <v>2</v>
      </c>
      <c r="G3" s="3" t="s">
        <v>13</v>
      </c>
      <c r="H3" s="3" t="str">
        <f>_xlfn.XLOOKUP(G3,$A$3:$A$12,$B$3:$B$12,"Employee not Available")</f>
        <v>Sneha</v>
      </c>
      <c r="I3" s="3" t="str" cm="1">
        <f t="array" ref="I3">_xlfn.XLOOKUP(G3,$A$3:A$12,$C$3:$C$12,"NA")</f>
        <v>Finance</v>
      </c>
      <c r="J3" s="3">
        <f>_xlfn.XLOOKUP(G3,$A$3:$A$12,$D$3:$D$12,"NA")</f>
        <v>70000</v>
      </c>
      <c r="K3" s="3">
        <f>_xlfn.XLOOKUP(G3,$A$3:$A$12,$E$3:$E$12,"NA")</f>
        <v>6</v>
      </c>
    </row>
    <row r="4" spans="1:11" x14ac:dyDescent="0.3">
      <c r="A4" s="3" t="s">
        <v>7</v>
      </c>
      <c r="B4" s="3" t="s">
        <v>8</v>
      </c>
      <c r="C4" s="3" t="s">
        <v>9</v>
      </c>
      <c r="D4" s="3">
        <v>65000</v>
      </c>
      <c r="E4" s="3">
        <v>5</v>
      </c>
      <c r="G4" s="6" t="s">
        <v>7</v>
      </c>
      <c r="H4" s="3" t="str">
        <f t="shared" ref="H4:H7" si="0">_xlfn.XLOOKUP(G4,$A$3:$A$12,$B$3:$B$12,"Employee not Available")</f>
        <v>Priya</v>
      </c>
      <c r="I4" s="3" t="str" cm="1">
        <f t="array" ref="I4">_xlfn.XLOOKUP(G4,$A$3:A$12,$C$3:$C$12,"NA")</f>
        <v>IT</v>
      </c>
      <c r="J4" s="3">
        <f t="shared" ref="J4:J7" si="1">_xlfn.XLOOKUP(G4,$A$3:$A$12,$D$3:$D$12,"NA")</f>
        <v>65000</v>
      </c>
      <c r="K4" s="3">
        <f t="shared" ref="K4:K7" si="2">_xlfn.XLOOKUP(G4,$A$3:$A$12,$E$3:$E$12,"NA")</f>
        <v>5</v>
      </c>
    </row>
    <row r="5" spans="1:11" x14ac:dyDescent="0.3">
      <c r="A5" s="3" t="s">
        <v>10</v>
      </c>
      <c r="B5" s="3" t="s">
        <v>11</v>
      </c>
      <c r="C5" s="3" t="s">
        <v>12</v>
      </c>
      <c r="D5" s="3">
        <v>55000</v>
      </c>
      <c r="E5" s="3">
        <v>3</v>
      </c>
      <c r="G5" s="6" t="s">
        <v>23</v>
      </c>
      <c r="H5" s="3" t="str">
        <f t="shared" si="0"/>
        <v>Pooja</v>
      </c>
      <c r="I5" s="3" t="str" cm="1">
        <f t="array" ref="I5">_xlfn.XLOOKUP(G5,$A$3:A$12,$C$3:$C$12,"NA")</f>
        <v>Sales</v>
      </c>
      <c r="J5" s="3">
        <f t="shared" si="1"/>
        <v>58000</v>
      </c>
      <c r="K5" s="3">
        <f t="shared" si="2"/>
        <v>5</v>
      </c>
    </row>
    <row r="6" spans="1:11" ht="28.8" x14ac:dyDescent="0.3">
      <c r="A6" s="3" t="s">
        <v>13</v>
      </c>
      <c r="B6" s="3" t="s">
        <v>14</v>
      </c>
      <c r="C6" s="3" t="s">
        <v>15</v>
      </c>
      <c r="D6" s="3">
        <v>70000</v>
      </c>
      <c r="E6" s="3">
        <v>6</v>
      </c>
      <c r="G6" s="6" t="s">
        <v>69</v>
      </c>
      <c r="H6" s="3" t="str">
        <f t="shared" si="0"/>
        <v>Employee not Available</v>
      </c>
      <c r="I6" s="3" t="str" cm="1">
        <f t="array" ref="I6">_xlfn.XLOOKUP(G6,$A$3:A$12,$C$3:$C$12,"NA")</f>
        <v>NA</v>
      </c>
      <c r="J6" s="3" t="str">
        <f t="shared" si="1"/>
        <v>NA</v>
      </c>
      <c r="K6" s="3" t="str">
        <f t="shared" si="2"/>
        <v>NA</v>
      </c>
    </row>
    <row r="7" spans="1:11" x14ac:dyDescent="0.3">
      <c r="A7" s="3" t="s">
        <v>16</v>
      </c>
      <c r="B7" s="3" t="s">
        <v>17</v>
      </c>
      <c r="C7" s="3" t="s">
        <v>18</v>
      </c>
      <c r="D7" s="3">
        <v>50000</v>
      </c>
      <c r="E7" s="3">
        <v>4</v>
      </c>
      <c r="G7" s="6" t="s">
        <v>10</v>
      </c>
      <c r="H7" s="3" t="str">
        <f t="shared" si="0"/>
        <v>Arjun</v>
      </c>
      <c r="I7" s="3" t="str" cm="1">
        <f t="array" ref="I7">_xlfn.XLOOKUP(G7,$A$3:A$12,$C$3:$C$12,"NA")</f>
        <v>Sales</v>
      </c>
      <c r="J7" s="3">
        <f t="shared" si="1"/>
        <v>55000</v>
      </c>
      <c r="K7" s="3">
        <f t="shared" si="2"/>
        <v>3</v>
      </c>
    </row>
    <row r="8" spans="1:11" x14ac:dyDescent="0.3">
      <c r="A8" s="3" t="s">
        <v>19</v>
      </c>
      <c r="B8" s="3" t="s">
        <v>20</v>
      </c>
      <c r="C8" s="3" t="s">
        <v>9</v>
      </c>
      <c r="D8" s="3">
        <v>68000</v>
      </c>
      <c r="E8" s="3">
        <v>7</v>
      </c>
    </row>
    <row r="9" spans="1:11" x14ac:dyDescent="0.3">
      <c r="A9" s="3" t="s">
        <v>21</v>
      </c>
      <c r="B9" s="3" t="s">
        <v>22</v>
      </c>
      <c r="C9" s="3" t="s">
        <v>6</v>
      </c>
      <c r="D9" s="3">
        <v>47000</v>
      </c>
      <c r="E9" s="3">
        <v>2</v>
      </c>
    </row>
    <row r="10" spans="1:11" x14ac:dyDescent="0.3">
      <c r="A10" s="3" t="s">
        <v>23</v>
      </c>
      <c r="B10" s="3" t="s">
        <v>24</v>
      </c>
      <c r="C10" s="3" t="s">
        <v>12</v>
      </c>
      <c r="D10" s="3">
        <v>58000</v>
      </c>
      <c r="E10" s="3">
        <v>5</v>
      </c>
    </row>
    <row r="11" spans="1:11" x14ac:dyDescent="0.3">
      <c r="A11" s="3" t="s">
        <v>25</v>
      </c>
      <c r="B11" s="3" t="s">
        <v>26</v>
      </c>
      <c r="C11" s="3" t="s">
        <v>15</v>
      </c>
      <c r="D11" s="3">
        <v>72000</v>
      </c>
      <c r="E11" s="3">
        <v>8</v>
      </c>
    </row>
    <row r="12" spans="1:11" x14ac:dyDescent="0.3">
      <c r="A12" s="3" t="s">
        <v>27</v>
      </c>
      <c r="B12" s="3" t="s">
        <v>28</v>
      </c>
      <c r="C12" s="3" t="s">
        <v>18</v>
      </c>
      <c r="D12" s="3">
        <v>52000</v>
      </c>
      <c r="E12" s="3">
        <v>3</v>
      </c>
    </row>
  </sheetData>
  <mergeCells count="2">
    <mergeCell ref="A1:E1"/>
    <mergeCell ref="G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31EE8-8827-4304-8C8E-B04FCA29B557}">
  <dimension ref="A1:J12"/>
  <sheetViews>
    <sheetView workbookViewId="0">
      <selection activeCell="H8" sqref="H8"/>
    </sheetView>
  </sheetViews>
  <sheetFormatPr defaultRowHeight="14.4" x14ac:dyDescent="0.3"/>
  <cols>
    <col min="3" max="3" width="10" customWidth="1"/>
  </cols>
  <sheetData>
    <row r="1" spans="1:10" x14ac:dyDescent="0.3">
      <c r="A1" s="18" t="s">
        <v>66</v>
      </c>
      <c r="B1" s="18"/>
      <c r="C1" s="18"/>
      <c r="D1" s="18"/>
      <c r="E1" s="18"/>
    </row>
    <row r="2" spans="1:10" ht="28.8" x14ac:dyDescent="0.3">
      <c r="A2" s="19" t="s">
        <v>0</v>
      </c>
      <c r="B2" s="19" t="s">
        <v>1</v>
      </c>
      <c r="C2" s="19" t="s">
        <v>2</v>
      </c>
      <c r="D2" s="19" t="s">
        <v>3</v>
      </c>
      <c r="E2" s="19" t="s">
        <v>68</v>
      </c>
      <c r="G2" s="19" t="s">
        <v>0</v>
      </c>
      <c r="H2" s="19" t="s">
        <v>1</v>
      </c>
      <c r="I2" s="19" t="s">
        <v>2</v>
      </c>
      <c r="J2" s="19" t="s">
        <v>3</v>
      </c>
    </row>
    <row r="3" spans="1:10" x14ac:dyDescent="0.3">
      <c r="A3" s="3" t="s">
        <v>4</v>
      </c>
      <c r="B3" s="3" t="s">
        <v>5</v>
      </c>
      <c r="C3" s="3" t="s">
        <v>6</v>
      </c>
      <c r="D3" s="3">
        <v>45000</v>
      </c>
      <c r="E3" s="3">
        <v>2</v>
      </c>
      <c r="G3" s="3" t="s">
        <v>7</v>
      </c>
      <c r="H3" s="3" t="str">
        <f>INDEX($B$3:$B$12,MATCH(G3,$A$3:$A$12,0))</f>
        <v>Priya</v>
      </c>
      <c r="I3" s="3" t="str">
        <f>INDEX($C$3:$C$12,MATCH(G3,$A$3:$A$12,0))</f>
        <v>IT</v>
      </c>
      <c r="J3" s="3">
        <f>INDEX($D$3:$D$12,MATCH(G3,$A$3:$A$12,0))</f>
        <v>65000</v>
      </c>
    </row>
    <row r="4" spans="1:10" ht="28.8" x14ac:dyDescent="0.3">
      <c r="A4" s="3" t="s">
        <v>7</v>
      </c>
      <c r="B4" s="3" t="s">
        <v>8</v>
      </c>
      <c r="C4" s="3" t="s">
        <v>9</v>
      </c>
      <c r="D4" s="3">
        <v>65000</v>
      </c>
      <c r="E4" s="3">
        <v>5</v>
      </c>
      <c r="G4" s="3" t="s">
        <v>16</v>
      </c>
      <c r="H4" s="3" t="str">
        <f t="shared" ref="H4:H6" si="0">INDEX($B$3:$B$12,MATCH(G4,$A$3:$A$12,0))</f>
        <v>Kiran</v>
      </c>
      <c r="I4" s="3" t="str">
        <f t="shared" ref="I4:I6" si="1">INDEX($C$3:$C$12,MATCH(G4,$A$3:$A$12,0))</f>
        <v>Marketing</v>
      </c>
      <c r="J4" s="3">
        <f t="shared" ref="J4:J6" si="2">INDEX($D$3:$D$12,MATCH(G4,$A$3:$A$12,0))</f>
        <v>50000</v>
      </c>
    </row>
    <row r="5" spans="1:10" x14ac:dyDescent="0.3">
      <c r="A5" s="3" t="s">
        <v>10</v>
      </c>
      <c r="B5" s="3" t="s">
        <v>11</v>
      </c>
      <c r="C5" s="3" t="s">
        <v>12</v>
      </c>
      <c r="D5" s="3">
        <v>55000</v>
      </c>
      <c r="E5" s="3">
        <v>3</v>
      </c>
      <c r="G5" s="3" t="s">
        <v>25</v>
      </c>
      <c r="H5" s="3" t="str">
        <f t="shared" si="0"/>
        <v>Rohan</v>
      </c>
      <c r="I5" s="3" t="str">
        <f t="shared" si="1"/>
        <v>Finance</v>
      </c>
      <c r="J5" s="3">
        <f t="shared" si="2"/>
        <v>72000</v>
      </c>
    </row>
    <row r="6" spans="1:10" x14ac:dyDescent="0.3">
      <c r="A6" s="3" t="s">
        <v>13</v>
      </c>
      <c r="B6" s="3" t="s">
        <v>14</v>
      </c>
      <c r="C6" s="3" t="s">
        <v>15</v>
      </c>
      <c r="D6" s="3">
        <v>70000</v>
      </c>
      <c r="E6" s="3">
        <v>6</v>
      </c>
      <c r="G6" s="3" t="s">
        <v>4</v>
      </c>
      <c r="H6" s="3" t="str">
        <f t="shared" si="0"/>
        <v>Rahul</v>
      </c>
      <c r="I6" s="3" t="str">
        <f t="shared" si="1"/>
        <v>HR</v>
      </c>
      <c r="J6" s="3">
        <f t="shared" si="2"/>
        <v>45000</v>
      </c>
    </row>
    <row r="7" spans="1:10" x14ac:dyDescent="0.3">
      <c r="A7" s="3" t="s">
        <v>16</v>
      </c>
      <c r="B7" s="3" t="s">
        <v>17</v>
      </c>
      <c r="C7" s="3" t="s">
        <v>18</v>
      </c>
      <c r="D7" s="3">
        <v>50000</v>
      </c>
      <c r="E7" s="3">
        <v>4</v>
      </c>
    </row>
    <row r="8" spans="1:10" x14ac:dyDescent="0.3">
      <c r="A8" s="3" t="s">
        <v>19</v>
      </c>
      <c r="B8" s="3" t="s">
        <v>20</v>
      </c>
      <c r="C8" s="3" t="s">
        <v>9</v>
      </c>
      <c r="D8" s="3">
        <v>68000</v>
      </c>
      <c r="E8" s="3">
        <v>7</v>
      </c>
    </row>
    <row r="9" spans="1:10" x14ac:dyDescent="0.3">
      <c r="A9" s="3" t="s">
        <v>21</v>
      </c>
      <c r="B9" s="3" t="s">
        <v>22</v>
      </c>
      <c r="C9" s="3" t="s">
        <v>6</v>
      </c>
      <c r="D9" s="3">
        <v>47000</v>
      </c>
      <c r="E9" s="3">
        <v>2</v>
      </c>
    </row>
    <row r="10" spans="1:10" x14ac:dyDescent="0.3">
      <c r="A10" s="3" t="s">
        <v>23</v>
      </c>
      <c r="B10" s="3" t="s">
        <v>24</v>
      </c>
      <c r="C10" s="3" t="s">
        <v>12</v>
      </c>
      <c r="D10" s="3">
        <v>58000</v>
      </c>
      <c r="E10" s="3">
        <v>5</v>
      </c>
    </row>
    <row r="11" spans="1:10" x14ac:dyDescent="0.3">
      <c r="A11" s="3" t="s">
        <v>25</v>
      </c>
      <c r="B11" s="3" t="s">
        <v>26</v>
      </c>
      <c r="C11" s="3" t="s">
        <v>15</v>
      </c>
      <c r="D11" s="3">
        <v>72000</v>
      </c>
      <c r="E11" s="3">
        <v>8</v>
      </c>
    </row>
    <row r="12" spans="1:10" ht="28.8" x14ac:dyDescent="0.3">
      <c r="A12" s="3" t="s">
        <v>27</v>
      </c>
      <c r="B12" s="3" t="s">
        <v>28</v>
      </c>
      <c r="C12" s="3" t="s">
        <v>18</v>
      </c>
      <c r="D12" s="3">
        <v>52000</v>
      </c>
      <c r="E12" s="3">
        <v>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</vt:lpstr>
      <vt:lpstr>HLOOKUP</vt:lpstr>
      <vt:lpstr>XLOOKUP</vt:lpstr>
      <vt:lpstr>INDEX+MATCH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Madhuri</dc:creator>
  <cp:lastModifiedBy>Divya Madhuri</cp:lastModifiedBy>
  <dcterms:created xsi:type="dcterms:W3CDTF">2026-06-30T05:15:40Z</dcterms:created>
  <dcterms:modified xsi:type="dcterms:W3CDTF">2026-06-30T07:01:12Z</dcterms:modified>
</cp:coreProperties>
</file>